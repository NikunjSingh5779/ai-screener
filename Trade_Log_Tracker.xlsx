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de Log" sheetId="1" state="visible" r:id="rId3"/>
    <sheet name="Dashboard" sheetId="2" state="visible" r:id="rId4"/>
    <sheet name="Legend"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<sst xmlns="http://schemas.openxmlformats.org/spreadsheetml/2006/main" count="78" uniqueCount="68">
  <si>
    <t xml:space="preserve">Date</t>
  </si>
  <si>
    <t xml:space="preserve">Time</t>
  </si>
  <si>
    <t xml:space="preserve">Market</t>
  </si>
  <si>
    <t xml:space="preserve">Symbol</t>
  </si>
  <si>
    <t xml:space="preserve">Direction</t>
  </si>
  <si>
    <t xml:space="preserve">Signal Source</t>
  </si>
  <si>
    <t xml:space="preserve">AI Confidence %</t>
  </si>
  <si>
    <t xml:space="preserve">Entry Price</t>
  </si>
  <si>
    <t xml:space="preserve">Stop Loss</t>
  </si>
  <si>
    <t xml:space="preserve">Target</t>
  </si>
  <si>
    <t xml:space="preserve">Quantity</t>
  </si>
  <si>
    <t xml:space="preserve">Currency</t>
  </si>
  <si>
    <t xml:space="preserve">Capital Risked</t>
  </si>
  <si>
    <t xml:space="preserve">Exit Price</t>
  </si>
  <si>
    <t xml:space="preserve">Exit Time</t>
  </si>
  <si>
    <t xml:space="preserve">P&amp;L</t>
  </si>
  <si>
    <t xml:space="preserve">P&amp;L %</t>
  </si>
  <si>
    <t xml:space="preserve">R Multiple</t>
  </si>
  <si>
    <t xml:space="preserve">Status</t>
  </si>
  <si>
    <t xml:space="preserve">Notes</t>
  </si>
  <si>
    <t xml:space="preserve">2026-08-03</t>
  </si>
  <si>
    <t xml:space="preserve">10:15</t>
  </si>
  <si>
    <t xml:space="preserve">NSE</t>
  </si>
  <si>
    <t xml:space="preserve">RELIANCE</t>
  </si>
  <si>
    <t xml:space="preserve">Buy</t>
  </si>
  <si>
    <t xml:space="preserve">AI</t>
  </si>
  <si>
    <t xml:space="preserve">INR</t>
  </si>
  <si>
    <t xml:space="preserve">11:40</t>
  </si>
  <si>
    <t xml:space="preserve">SAMPLE ROW - overwrite or delete me</t>
  </si>
  <si>
    <t xml:space="preserve">Trading Performance Dashboard</t>
  </si>
  <si>
    <t xml:space="preserve">Auto-calculated from the Trade Log sheet (rows 3+; row 2 there is a sample and is excluded)</t>
  </si>
  <si>
    <t xml:space="preserve">Overall</t>
  </si>
  <si>
    <t xml:space="preserve">Total Trades Logged</t>
  </si>
  <si>
    <t xml:space="preserve">Trades Closed</t>
  </si>
  <si>
    <t xml:space="preserve">Trades Open</t>
  </si>
  <si>
    <t xml:space="preserve">Win Rate (closed trades)</t>
  </si>
  <si>
    <t xml:space="preserve">Avg P&amp;L % per closed trade</t>
  </si>
  <si>
    <t xml:space="preserve">Best Trade (P&amp;L %)</t>
  </si>
  <si>
    <t xml:space="preserve">Worst Trade (P&amp;L %)</t>
  </si>
  <si>
    <t xml:space="preserve">P&amp;L by Currency (sum of closed trades)</t>
  </si>
  <si>
    <t xml:space="preserve">Total P&amp;L</t>
  </si>
  <si>
    <t xml:space="preserve">USD</t>
  </si>
  <si>
    <t xml:space="preserve">USDT</t>
  </si>
  <si>
    <t xml:space="preserve">By Market</t>
  </si>
  <si>
    <t xml:space="preserve">Trades</t>
  </si>
  <si>
    <t xml:space="preserve">Win Rate</t>
  </si>
  <si>
    <t xml:space="preserve">BSE</t>
  </si>
  <si>
    <t xml:space="preserve">US</t>
  </si>
  <si>
    <t xml:space="preserve">Crypto</t>
  </si>
  <si>
    <t xml:space="preserve">AI Signal vs Manual — is the AI actually helping?</t>
  </si>
  <si>
    <t xml:space="preserve">Source</t>
  </si>
  <si>
    <t xml:space="preserve">Avg P&amp;L %</t>
  </si>
  <si>
    <t xml:space="preserve">Manual</t>
  </si>
  <si>
    <t xml:space="preserve">How to use this tracker</t>
  </si>
  <si>
    <t xml:space="preserve">Trade Log tab</t>
  </si>
  <si>
    <t xml:space="preserve">One row per trade. Row 2 is a sample (yellow) — overwrite it or delete it before you rely on the Dashboard.</t>
  </si>
  <si>
    <t xml:space="preserve">Blue-ish input cells</t>
  </si>
  <si>
    <t xml:space="preserve">Columns A-L are what you type in: Date, Time, Market, Symbol, Direction, Signal Source, AI Confidence, Entry, Stop Loss, Target, Quantity, Currency.</t>
  </si>
  <si>
    <t xml:space="preserve">Auto-calculated columns</t>
  </si>
  <si>
    <t xml:space="preserve">Capital Risked, P&amp;L, P&amp;L %, R Multiple, and Status (M, P, Q, R, S) fill themselves in from formulas - don't type into these.</t>
  </si>
  <si>
    <t xml:space="preserve">Closing a trade</t>
  </si>
  <si>
    <t xml:space="preserve">Fill in Exit Price and Exit Time once you close the position. Status flips to 'Closed' and P&amp;L calculates automatically.</t>
  </si>
  <si>
    <t xml:space="preserve">Mark 'AI' when the overlay tool generated the call, 'Manual' when it was your own read. The Dashboard compares win rates between the two so you can see if the AI is actually adding value.</t>
  </si>
  <si>
    <t xml:space="preserve">Pick INR for NSE/BSE, USD for US stocks, USDT for crypto (or whatever your exchange quotes in). P&amp;L totals on the Dashboard are broken out per currency rather than summed together.</t>
  </si>
  <si>
    <t xml:space="preserve">Dashboard tab</t>
  </si>
  <si>
    <t xml:space="preserve">Auto-calculated from row 3 onward of Trade Log. Nothing to edit here.</t>
  </si>
  <si>
    <t xml:space="preserve">Extending it</t>
  </si>
  <si>
    <t xml:space="preserve">Add columns to the right of Notes for anything else you want to track (e.g. which model/provider generated the signal) - just extend the formulas in M:S down the same rows.</t>
  </si>
</sst>
</file>

<file path=xl/styles.xml><?xml version="1.0" encoding="utf-8"?>
<styleSheet xmlns="http://schemas.openxmlformats.org/spreadsheetml/2006/main">
  <numFmts count="5">
    <numFmt numFmtId="164" formatCode="General"/>
    <numFmt numFmtId="165" formatCode="0\%"/>
    <numFmt numFmtId="166" formatCode="#,##0.00"/>
    <numFmt numFmtId="167" formatCode="0.0%"/>
    <numFmt numFmtId="168" formatCode="0.00\R"/>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color rgb="FF1F4E78"/>
      <name val="Arial"/>
      <family val="0"/>
      <charset val="1"/>
    </font>
    <font>
      <i val="true"/>
      <sz val="10"/>
      <color rgb="FF666666"/>
      <name val="Arial"/>
      <family val="0"/>
      <charset val="1"/>
    </font>
    <font>
      <b val="true"/>
      <sz val="12"/>
      <color rgb="FFFFFFFF"/>
      <name val="Arial"/>
      <family val="0"/>
      <charset val="1"/>
    </font>
    <font>
      <b val="true"/>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9"/>
    <col collapsed="false" customWidth="true" hidden="false" outlineLevel="0" max="5" min="4" style="0" width="10"/>
    <col collapsed="false" customWidth="true" hidden="false" outlineLevel="0" max="7" min="6" style="0" width="12"/>
    <col collapsed="false" customWidth="true" hidden="false" outlineLevel="0" max="8" min="8" style="0" width="11"/>
    <col collapsed="false" customWidth="true" hidden="false" outlineLevel="0" max="11" min="9" style="0" width="10"/>
    <col collapsed="false" customWidth="true" hidden="false" outlineLevel="0" max="12" min="12" style="0" width="9"/>
    <col collapsed="false" customWidth="true" hidden="false" outlineLevel="0" max="13" min="13" style="0" width="12"/>
    <col collapsed="false" customWidth="true" hidden="false" outlineLevel="0" max="14" min="14" style="0" width="11"/>
    <col collapsed="false" customWidth="true" hidden="false" outlineLevel="0" max="15" min="15" style="0" width="9"/>
    <col collapsed="false" customWidth="true" hidden="false" outlineLevel="0" max="16" min="16" style="0" width="11"/>
    <col collapsed="false" customWidth="true" hidden="false" outlineLevel="0" max="17" min="17" style="0" width="9"/>
    <col collapsed="false" customWidth="true" hidden="false" outlineLevel="0" max="18" min="18" style="0" width="10"/>
    <col collapsed="false" customWidth="true" hidden="false" outlineLevel="0" max="19" min="19" style="0" width="9"/>
    <col collapsed="false" customWidth="true" hidden="false" outlineLevel="0" max="20" min="20" style="0" width="26"/>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15" hidden="false" customHeight="false" outlineLevel="0" collapsed="false">
      <c r="A2" s="2" t="s">
        <v>20</v>
      </c>
      <c r="B2" s="2" t="s">
        <v>21</v>
      </c>
      <c r="C2" s="2" t="s">
        <v>22</v>
      </c>
      <c r="D2" s="2" t="s">
        <v>23</v>
      </c>
      <c r="E2" s="2" t="s">
        <v>24</v>
      </c>
      <c r="F2" s="2" t="s">
        <v>25</v>
      </c>
      <c r="G2" s="3" t="n">
        <v>72</v>
      </c>
      <c r="H2" s="4" t="n">
        <v>2865.5</v>
      </c>
      <c r="I2" s="4" t="n">
        <v>2840</v>
      </c>
      <c r="J2" s="4" t="n">
        <v>2920</v>
      </c>
      <c r="K2" s="2" t="n">
        <v>10</v>
      </c>
      <c r="L2" s="2" t="s">
        <v>26</v>
      </c>
      <c r="M2" s="4" t="n">
        <f aca="false">IF(AND(H2&lt;&gt;"",I2&lt;&gt;"",K2&lt;&gt;""),ABS(H2-I2)*K2,"")</f>
        <v>255</v>
      </c>
      <c r="N2" s="4" t="n">
        <v>2915</v>
      </c>
      <c r="O2" s="2" t="s">
        <v>27</v>
      </c>
      <c r="P2" s="4" t="n">
        <f aca="false">IF(N2&lt;&gt;"",(N2-H2)*K2*IF(E2="Buy",1,-1),"")</f>
        <v>495</v>
      </c>
      <c r="Q2" s="5" t="n">
        <f aca="false">IF(AND(P2&lt;&gt;"",H2&lt;&gt;0,K2&lt;&gt;0),P2/(H2*K2),"")</f>
        <v>0.017274472168906</v>
      </c>
      <c r="R2" s="6" t="n">
        <f aca="false">IF(AND(N2&lt;&gt;"",H2&lt;&gt;I2),IF(E2="Buy",(N2-H2)/(H2-I2),(H2-N2)/(I2-H2)),"")</f>
        <v>1.94117647058824</v>
      </c>
      <c r="S2" s="2" t="str">
        <f aca="false">IF(D2="","",IF(N2&lt;&gt;"","Closed","Open"))</f>
        <v>Closed</v>
      </c>
      <c r="T2" s="2" t="s">
        <v>28</v>
      </c>
    </row>
    <row r="3" customFormat="false" ht="15" hidden="false" customHeight="false" outlineLevel="0" collapsed="false">
      <c r="A3" s="7"/>
      <c r="B3" s="7"/>
      <c r="C3" s="7"/>
      <c r="D3" s="7"/>
      <c r="E3" s="7"/>
      <c r="F3" s="7"/>
      <c r="G3" s="8"/>
      <c r="H3" s="9"/>
      <c r="I3" s="9"/>
      <c r="J3" s="9"/>
      <c r="K3" s="7"/>
      <c r="L3" s="7"/>
      <c r="M3" s="9" t="str">
        <f aca="false">IF(AND(H3&lt;&gt;"",I3&lt;&gt;"",K3&lt;&gt;""),ABS(H3-I3)*K3,"")</f>
        <v/>
      </c>
      <c r="N3" s="9"/>
      <c r="O3" s="7"/>
      <c r="P3" s="9" t="str">
        <f aca="false">IF(N3&lt;&gt;"",(N3-H3)*K3*IF(E3="Buy",1,-1),"")</f>
        <v/>
      </c>
      <c r="Q3" s="10" t="str">
        <f aca="false">IF(AND(P3&lt;&gt;"",H3&lt;&gt;0,K3&lt;&gt;0),P3/(H3*K3),"")</f>
        <v/>
      </c>
      <c r="R3" s="11" t="str">
        <f aca="false">IF(AND(N3&lt;&gt;"",H3&lt;&gt;I3),IF(E3="Buy",(N3-H3)/(H3-I3),(H3-N3)/(I3-H3)),"")</f>
        <v/>
      </c>
      <c r="S3" s="7" t="str">
        <f aca="false">IF(D3="","",IF(N3&lt;&gt;"","Closed","Open"))</f>
        <v/>
      </c>
      <c r="T3" s="7"/>
    </row>
    <row r="4" customFormat="false" ht="15" hidden="false" customHeight="false" outlineLevel="0" collapsed="false">
      <c r="A4" s="7"/>
      <c r="B4" s="7"/>
      <c r="C4" s="7"/>
      <c r="D4" s="7"/>
      <c r="E4" s="7"/>
      <c r="F4" s="7"/>
      <c r="G4" s="8"/>
      <c r="H4" s="9"/>
      <c r="I4" s="9"/>
      <c r="J4" s="9"/>
      <c r="K4" s="7"/>
      <c r="L4" s="7"/>
      <c r="M4" s="9" t="str">
        <f aca="false">IF(AND(H4&lt;&gt;"",I4&lt;&gt;"",K4&lt;&gt;""),ABS(H4-I4)*K4,"")</f>
        <v/>
      </c>
      <c r="N4" s="9"/>
      <c r="O4" s="7"/>
      <c r="P4" s="9" t="str">
        <f aca="false">IF(N4&lt;&gt;"",(N4-H4)*K4*IF(E4="Buy",1,-1),"")</f>
        <v/>
      </c>
      <c r="Q4" s="10" t="str">
        <f aca="false">IF(AND(P4&lt;&gt;"",H4&lt;&gt;0,K4&lt;&gt;0),P4/(H4*K4),"")</f>
        <v/>
      </c>
      <c r="R4" s="11" t="str">
        <f aca="false">IF(AND(N4&lt;&gt;"",H4&lt;&gt;I4),IF(E4="Buy",(N4-H4)/(H4-I4),(H4-N4)/(I4-H4)),"")</f>
        <v/>
      </c>
      <c r="S4" s="7" t="str">
        <f aca="false">IF(D4="","",IF(N4&lt;&gt;"","Closed","Open"))</f>
        <v/>
      </c>
      <c r="T4" s="7"/>
    </row>
    <row r="5" customFormat="false" ht="15" hidden="false" customHeight="false" outlineLevel="0" collapsed="false">
      <c r="A5" s="7"/>
      <c r="B5" s="7"/>
      <c r="C5" s="7"/>
      <c r="D5" s="7"/>
      <c r="E5" s="7"/>
      <c r="F5" s="7"/>
      <c r="G5" s="8"/>
      <c r="H5" s="9"/>
      <c r="I5" s="9"/>
      <c r="J5" s="9"/>
      <c r="K5" s="7"/>
      <c r="L5" s="7"/>
      <c r="M5" s="9" t="str">
        <f aca="false">IF(AND(H5&lt;&gt;"",I5&lt;&gt;"",K5&lt;&gt;""),ABS(H5-I5)*K5,"")</f>
        <v/>
      </c>
      <c r="N5" s="9"/>
      <c r="O5" s="7"/>
      <c r="P5" s="9" t="str">
        <f aca="false">IF(N5&lt;&gt;"",(N5-H5)*K5*IF(E5="Buy",1,-1),"")</f>
        <v/>
      </c>
      <c r="Q5" s="10" t="str">
        <f aca="false">IF(AND(P5&lt;&gt;"",H5&lt;&gt;0,K5&lt;&gt;0),P5/(H5*K5),"")</f>
        <v/>
      </c>
      <c r="R5" s="11" t="str">
        <f aca="false">IF(AND(N5&lt;&gt;"",H5&lt;&gt;I5),IF(E5="Buy",(N5-H5)/(H5-I5),(H5-N5)/(I5-H5)),"")</f>
        <v/>
      </c>
      <c r="S5" s="7" t="str">
        <f aca="false">IF(D5="","",IF(N5&lt;&gt;"","Closed","Open"))</f>
        <v/>
      </c>
      <c r="T5" s="7"/>
    </row>
    <row r="6" customFormat="false" ht="15" hidden="false" customHeight="false" outlineLevel="0" collapsed="false">
      <c r="A6" s="7"/>
      <c r="B6" s="7"/>
      <c r="C6" s="7"/>
      <c r="D6" s="7"/>
      <c r="E6" s="7"/>
      <c r="F6" s="7"/>
      <c r="G6" s="8"/>
      <c r="H6" s="9"/>
      <c r="I6" s="9"/>
      <c r="J6" s="9"/>
      <c r="K6" s="7"/>
      <c r="L6" s="7"/>
      <c r="M6" s="9" t="str">
        <f aca="false">IF(AND(H6&lt;&gt;"",I6&lt;&gt;"",K6&lt;&gt;""),ABS(H6-I6)*K6,"")</f>
        <v/>
      </c>
      <c r="N6" s="9"/>
      <c r="O6" s="7"/>
      <c r="P6" s="9" t="str">
        <f aca="false">IF(N6&lt;&gt;"",(N6-H6)*K6*IF(E6="Buy",1,-1),"")</f>
        <v/>
      </c>
      <c r="Q6" s="10" t="str">
        <f aca="false">IF(AND(P6&lt;&gt;"",H6&lt;&gt;0,K6&lt;&gt;0),P6/(H6*K6),"")</f>
        <v/>
      </c>
      <c r="R6" s="11" t="str">
        <f aca="false">IF(AND(N6&lt;&gt;"",H6&lt;&gt;I6),IF(E6="Buy",(N6-H6)/(H6-I6),(H6-N6)/(I6-H6)),"")</f>
        <v/>
      </c>
      <c r="S6" s="7" t="str">
        <f aca="false">IF(D6="","",IF(N6&lt;&gt;"","Closed","Open"))</f>
        <v/>
      </c>
      <c r="T6" s="7"/>
    </row>
    <row r="7" customFormat="false" ht="15" hidden="false" customHeight="false" outlineLevel="0" collapsed="false">
      <c r="A7" s="7"/>
      <c r="B7" s="7"/>
      <c r="C7" s="7"/>
      <c r="D7" s="7"/>
      <c r="E7" s="7"/>
      <c r="F7" s="7"/>
      <c r="G7" s="8"/>
      <c r="H7" s="9"/>
      <c r="I7" s="9"/>
      <c r="J7" s="9"/>
      <c r="K7" s="7"/>
      <c r="L7" s="7"/>
      <c r="M7" s="9" t="str">
        <f aca="false">IF(AND(H7&lt;&gt;"",I7&lt;&gt;"",K7&lt;&gt;""),ABS(H7-I7)*K7,"")</f>
        <v/>
      </c>
      <c r="N7" s="9"/>
      <c r="O7" s="7"/>
      <c r="P7" s="9" t="str">
        <f aca="false">IF(N7&lt;&gt;"",(N7-H7)*K7*IF(E7="Buy",1,-1),"")</f>
        <v/>
      </c>
      <c r="Q7" s="10" t="str">
        <f aca="false">IF(AND(P7&lt;&gt;"",H7&lt;&gt;0,K7&lt;&gt;0),P7/(H7*K7),"")</f>
        <v/>
      </c>
      <c r="R7" s="11" t="str">
        <f aca="false">IF(AND(N7&lt;&gt;"",H7&lt;&gt;I7),IF(E7="Buy",(N7-H7)/(H7-I7),(H7-N7)/(I7-H7)),"")</f>
        <v/>
      </c>
      <c r="S7" s="7" t="str">
        <f aca="false">IF(D7="","",IF(N7&lt;&gt;"","Closed","Open"))</f>
        <v/>
      </c>
      <c r="T7" s="7"/>
    </row>
    <row r="8" customFormat="false" ht="15" hidden="false" customHeight="false" outlineLevel="0" collapsed="false">
      <c r="A8" s="7"/>
      <c r="B8" s="7"/>
      <c r="C8" s="7"/>
      <c r="D8" s="7"/>
      <c r="E8" s="7"/>
      <c r="F8" s="7"/>
      <c r="G8" s="8"/>
      <c r="H8" s="9"/>
      <c r="I8" s="9"/>
      <c r="J8" s="9"/>
      <c r="K8" s="7"/>
      <c r="L8" s="7"/>
      <c r="M8" s="9" t="str">
        <f aca="false">IF(AND(H8&lt;&gt;"",I8&lt;&gt;"",K8&lt;&gt;""),ABS(H8-I8)*K8,"")</f>
        <v/>
      </c>
      <c r="N8" s="9"/>
      <c r="O8" s="7"/>
      <c r="P8" s="9" t="str">
        <f aca="false">IF(N8&lt;&gt;"",(N8-H8)*K8*IF(E8="Buy",1,-1),"")</f>
        <v/>
      </c>
      <c r="Q8" s="10" t="str">
        <f aca="false">IF(AND(P8&lt;&gt;"",H8&lt;&gt;0,K8&lt;&gt;0),P8/(H8*K8),"")</f>
        <v/>
      </c>
      <c r="R8" s="11" t="str">
        <f aca="false">IF(AND(N8&lt;&gt;"",H8&lt;&gt;I8),IF(E8="Buy",(N8-H8)/(H8-I8),(H8-N8)/(I8-H8)),"")</f>
        <v/>
      </c>
      <c r="S8" s="7" t="str">
        <f aca="false">IF(D8="","",IF(N8&lt;&gt;"","Closed","Open"))</f>
        <v/>
      </c>
      <c r="T8" s="7"/>
    </row>
    <row r="9" customFormat="false" ht="15" hidden="false" customHeight="false" outlineLevel="0" collapsed="false">
      <c r="A9" s="7"/>
      <c r="B9" s="7"/>
      <c r="C9" s="7"/>
      <c r="D9" s="7"/>
      <c r="E9" s="7"/>
      <c r="F9" s="7"/>
      <c r="G9" s="8"/>
      <c r="H9" s="9"/>
      <c r="I9" s="9"/>
      <c r="J9" s="9"/>
      <c r="K9" s="7"/>
      <c r="L9" s="7"/>
      <c r="M9" s="9" t="str">
        <f aca="false">IF(AND(H9&lt;&gt;"",I9&lt;&gt;"",K9&lt;&gt;""),ABS(H9-I9)*K9,"")</f>
        <v/>
      </c>
      <c r="N9" s="9"/>
      <c r="O9" s="7"/>
      <c r="P9" s="9" t="str">
        <f aca="false">IF(N9&lt;&gt;"",(N9-H9)*K9*IF(E9="Buy",1,-1),"")</f>
        <v/>
      </c>
      <c r="Q9" s="10" t="str">
        <f aca="false">IF(AND(P9&lt;&gt;"",H9&lt;&gt;0,K9&lt;&gt;0),P9/(H9*K9),"")</f>
        <v/>
      </c>
      <c r="R9" s="11" t="str">
        <f aca="false">IF(AND(N9&lt;&gt;"",H9&lt;&gt;I9),IF(E9="Buy",(N9-H9)/(H9-I9),(H9-N9)/(I9-H9)),"")</f>
        <v/>
      </c>
      <c r="S9" s="7" t="str">
        <f aca="false">IF(D9="","",IF(N9&lt;&gt;"","Closed","Open"))</f>
        <v/>
      </c>
      <c r="T9" s="7"/>
    </row>
    <row r="10" customFormat="false" ht="15" hidden="false" customHeight="false" outlineLevel="0" collapsed="false">
      <c r="A10" s="7"/>
      <c r="B10" s="7"/>
      <c r="C10" s="7"/>
      <c r="D10" s="7"/>
      <c r="E10" s="7"/>
      <c r="F10" s="7"/>
      <c r="G10" s="8"/>
      <c r="H10" s="9"/>
      <c r="I10" s="9"/>
      <c r="J10" s="9"/>
      <c r="K10" s="7"/>
      <c r="L10" s="7"/>
      <c r="M10" s="9" t="str">
        <f aca="false">IF(AND(H10&lt;&gt;"",I10&lt;&gt;"",K10&lt;&gt;""),ABS(H10-I10)*K10,"")</f>
        <v/>
      </c>
      <c r="N10" s="9"/>
      <c r="O10" s="7"/>
      <c r="P10" s="9" t="str">
        <f aca="false">IF(N10&lt;&gt;"",(N10-H10)*K10*IF(E10="Buy",1,-1),"")</f>
        <v/>
      </c>
      <c r="Q10" s="10" t="str">
        <f aca="false">IF(AND(P10&lt;&gt;"",H10&lt;&gt;0,K10&lt;&gt;0),P10/(H10*K10),"")</f>
        <v/>
      </c>
      <c r="R10" s="11" t="str">
        <f aca="false">IF(AND(N10&lt;&gt;"",H10&lt;&gt;I10),IF(E10="Buy",(N10-H10)/(H10-I10),(H10-N10)/(I10-H10)),"")</f>
        <v/>
      </c>
      <c r="S10" s="7" t="str">
        <f aca="false">IF(D10="","",IF(N10&lt;&gt;"","Closed","Open"))</f>
        <v/>
      </c>
      <c r="T10" s="7"/>
    </row>
    <row r="11" customFormat="false" ht="15" hidden="false" customHeight="false" outlineLevel="0" collapsed="false">
      <c r="A11" s="7"/>
      <c r="B11" s="7"/>
      <c r="C11" s="7"/>
      <c r="D11" s="7"/>
      <c r="E11" s="7"/>
      <c r="F11" s="7"/>
      <c r="G11" s="8"/>
      <c r="H11" s="9"/>
      <c r="I11" s="9"/>
      <c r="J11" s="9"/>
      <c r="K11" s="7"/>
      <c r="L11" s="7"/>
      <c r="M11" s="9" t="str">
        <f aca="false">IF(AND(H11&lt;&gt;"",I11&lt;&gt;"",K11&lt;&gt;""),ABS(H11-I11)*K11,"")</f>
        <v/>
      </c>
      <c r="N11" s="9"/>
      <c r="O11" s="7"/>
      <c r="P11" s="9" t="str">
        <f aca="false">IF(N11&lt;&gt;"",(N11-H11)*K11*IF(E11="Buy",1,-1),"")</f>
        <v/>
      </c>
      <c r="Q11" s="10" t="str">
        <f aca="false">IF(AND(P11&lt;&gt;"",H11&lt;&gt;0,K11&lt;&gt;0),P11/(H11*K11),"")</f>
        <v/>
      </c>
      <c r="R11" s="11" t="str">
        <f aca="false">IF(AND(N11&lt;&gt;"",H11&lt;&gt;I11),IF(E11="Buy",(N11-H11)/(H11-I11),(H11-N11)/(I11-H11)),"")</f>
        <v/>
      </c>
      <c r="S11" s="7" t="str">
        <f aca="false">IF(D11="","",IF(N11&lt;&gt;"","Closed","Open"))</f>
        <v/>
      </c>
      <c r="T11" s="7"/>
    </row>
    <row r="12" customFormat="false" ht="15" hidden="false" customHeight="false" outlineLevel="0" collapsed="false">
      <c r="A12" s="7"/>
      <c r="B12" s="7"/>
      <c r="C12" s="7"/>
      <c r="D12" s="7"/>
      <c r="E12" s="7"/>
      <c r="F12" s="7"/>
      <c r="G12" s="8"/>
      <c r="H12" s="9"/>
      <c r="I12" s="9"/>
      <c r="J12" s="9"/>
      <c r="K12" s="7"/>
      <c r="L12" s="7"/>
      <c r="M12" s="9" t="str">
        <f aca="false">IF(AND(H12&lt;&gt;"",I12&lt;&gt;"",K12&lt;&gt;""),ABS(H12-I12)*K12,"")</f>
        <v/>
      </c>
      <c r="N12" s="9"/>
      <c r="O12" s="7"/>
      <c r="P12" s="9" t="str">
        <f aca="false">IF(N12&lt;&gt;"",(N12-H12)*K12*IF(E12="Buy",1,-1),"")</f>
        <v/>
      </c>
      <c r="Q12" s="10" t="str">
        <f aca="false">IF(AND(P12&lt;&gt;"",H12&lt;&gt;0,K12&lt;&gt;0),P12/(H12*K12),"")</f>
        <v/>
      </c>
      <c r="R12" s="11" t="str">
        <f aca="false">IF(AND(N12&lt;&gt;"",H12&lt;&gt;I12),IF(E12="Buy",(N12-H12)/(H12-I12),(H12-N12)/(I12-H12)),"")</f>
        <v/>
      </c>
      <c r="S12" s="7" t="str">
        <f aca="false">IF(D12="","",IF(N12&lt;&gt;"","Closed","Open"))</f>
        <v/>
      </c>
      <c r="T12" s="7"/>
    </row>
    <row r="13" customFormat="false" ht="15" hidden="false" customHeight="false" outlineLevel="0" collapsed="false">
      <c r="A13" s="7"/>
      <c r="B13" s="7"/>
      <c r="C13" s="7"/>
      <c r="D13" s="7"/>
      <c r="E13" s="7"/>
      <c r="F13" s="7"/>
      <c r="G13" s="8"/>
      <c r="H13" s="9"/>
      <c r="I13" s="9"/>
      <c r="J13" s="9"/>
      <c r="K13" s="7"/>
      <c r="L13" s="7"/>
      <c r="M13" s="9" t="str">
        <f aca="false">IF(AND(H13&lt;&gt;"",I13&lt;&gt;"",K13&lt;&gt;""),ABS(H13-I13)*K13,"")</f>
        <v/>
      </c>
      <c r="N13" s="9"/>
      <c r="O13" s="7"/>
      <c r="P13" s="9" t="str">
        <f aca="false">IF(N13&lt;&gt;"",(N13-H13)*K13*IF(E13="Buy",1,-1),"")</f>
        <v/>
      </c>
      <c r="Q13" s="10" t="str">
        <f aca="false">IF(AND(P13&lt;&gt;"",H13&lt;&gt;0,K13&lt;&gt;0),P13/(H13*K13),"")</f>
        <v/>
      </c>
      <c r="R13" s="11" t="str">
        <f aca="false">IF(AND(N13&lt;&gt;"",H13&lt;&gt;I13),IF(E13="Buy",(N13-H13)/(H13-I13),(H13-N13)/(I13-H13)),"")</f>
        <v/>
      </c>
      <c r="S13" s="7" t="str">
        <f aca="false">IF(D13="","",IF(N13&lt;&gt;"","Closed","Open"))</f>
        <v/>
      </c>
      <c r="T13" s="7"/>
    </row>
    <row r="14" customFormat="false" ht="15" hidden="false" customHeight="false" outlineLevel="0" collapsed="false">
      <c r="A14" s="7"/>
      <c r="B14" s="7"/>
      <c r="C14" s="7"/>
      <c r="D14" s="7"/>
      <c r="E14" s="7"/>
      <c r="F14" s="7"/>
      <c r="G14" s="8"/>
      <c r="H14" s="9"/>
      <c r="I14" s="9"/>
      <c r="J14" s="9"/>
      <c r="K14" s="7"/>
      <c r="L14" s="7"/>
      <c r="M14" s="9" t="str">
        <f aca="false">IF(AND(H14&lt;&gt;"",I14&lt;&gt;"",K14&lt;&gt;""),ABS(H14-I14)*K14,"")</f>
        <v/>
      </c>
      <c r="N14" s="9"/>
      <c r="O14" s="7"/>
      <c r="P14" s="9" t="str">
        <f aca="false">IF(N14&lt;&gt;"",(N14-H14)*K14*IF(E14="Buy",1,-1),"")</f>
        <v/>
      </c>
      <c r="Q14" s="10" t="str">
        <f aca="false">IF(AND(P14&lt;&gt;"",H14&lt;&gt;0,K14&lt;&gt;0),P14/(H14*K14),"")</f>
        <v/>
      </c>
      <c r="R14" s="11" t="str">
        <f aca="false">IF(AND(N14&lt;&gt;"",H14&lt;&gt;I14),IF(E14="Buy",(N14-H14)/(H14-I14),(H14-N14)/(I14-H14)),"")</f>
        <v/>
      </c>
      <c r="S14" s="7" t="str">
        <f aca="false">IF(D14="","",IF(N14&lt;&gt;"","Closed","Open"))</f>
        <v/>
      </c>
      <c r="T14" s="7"/>
    </row>
    <row r="15" customFormat="false" ht="15" hidden="false" customHeight="false" outlineLevel="0" collapsed="false">
      <c r="A15" s="7"/>
      <c r="B15" s="7"/>
      <c r="C15" s="7"/>
      <c r="D15" s="7"/>
      <c r="E15" s="7"/>
      <c r="F15" s="7"/>
      <c r="G15" s="8"/>
      <c r="H15" s="9"/>
      <c r="I15" s="9"/>
      <c r="J15" s="9"/>
      <c r="K15" s="7"/>
      <c r="L15" s="7"/>
      <c r="M15" s="9" t="str">
        <f aca="false">IF(AND(H15&lt;&gt;"",I15&lt;&gt;"",K15&lt;&gt;""),ABS(H15-I15)*K15,"")</f>
        <v/>
      </c>
      <c r="N15" s="9"/>
      <c r="O15" s="7"/>
      <c r="P15" s="9" t="str">
        <f aca="false">IF(N15&lt;&gt;"",(N15-H15)*K15*IF(E15="Buy",1,-1),"")</f>
        <v/>
      </c>
      <c r="Q15" s="10" t="str">
        <f aca="false">IF(AND(P15&lt;&gt;"",H15&lt;&gt;0,K15&lt;&gt;0),P15/(H15*K15),"")</f>
        <v/>
      </c>
      <c r="R15" s="11" t="str">
        <f aca="false">IF(AND(N15&lt;&gt;"",H15&lt;&gt;I15),IF(E15="Buy",(N15-H15)/(H15-I15),(H15-N15)/(I15-H15)),"")</f>
        <v/>
      </c>
      <c r="S15" s="7" t="str">
        <f aca="false">IF(D15="","",IF(N15&lt;&gt;"","Closed","Open"))</f>
        <v/>
      </c>
      <c r="T15" s="7"/>
    </row>
    <row r="16" customFormat="false" ht="15" hidden="false" customHeight="false" outlineLevel="0" collapsed="false">
      <c r="A16" s="7"/>
      <c r="B16" s="7"/>
      <c r="C16" s="7"/>
      <c r="D16" s="7"/>
      <c r="E16" s="7"/>
      <c r="F16" s="7"/>
      <c r="G16" s="8"/>
      <c r="H16" s="9"/>
      <c r="I16" s="9"/>
      <c r="J16" s="9"/>
      <c r="K16" s="7"/>
      <c r="L16" s="7"/>
      <c r="M16" s="9" t="str">
        <f aca="false">IF(AND(H16&lt;&gt;"",I16&lt;&gt;"",K16&lt;&gt;""),ABS(H16-I16)*K16,"")</f>
        <v/>
      </c>
      <c r="N16" s="9"/>
      <c r="O16" s="7"/>
      <c r="P16" s="9" t="str">
        <f aca="false">IF(N16&lt;&gt;"",(N16-H16)*K16*IF(E16="Buy",1,-1),"")</f>
        <v/>
      </c>
      <c r="Q16" s="10" t="str">
        <f aca="false">IF(AND(P16&lt;&gt;"",H16&lt;&gt;0,K16&lt;&gt;0),P16/(H16*K16),"")</f>
        <v/>
      </c>
      <c r="R16" s="11" t="str">
        <f aca="false">IF(AND(N16&lt;&gt;"",H16&lt;&gt;I16),IF(E16="Buy",(N16-H16)/(H16-I16),(H16-N16)/(I16-H16)),"")</f>
        <v/>
      </c>
      <c r="S16" s="7" t="str">
        <f aca="false">IF(D16="","",IF(N16&lt;&gt;"","Closed","Open"))</f>
        <v/>
      </c>
      <c r="T16" s="7"/>
    </row>
    <row r="17" customFormat="false" ht="15" hidden="false" customHeight="false" outlineLevel="0" collapsed="false">
      <c r="A17" s="7"/>
      <c r="B17" s="7"/>
      <c r="C17" s="7"/>
      <c r="D17" s="7"/>
      <c r="E17" s="7"/>
      <c r="F17" s="7"/>
      <c r="G17" s="8"/>
      <c r="H17" s="9"/>
      <c r="I17" s="9"/>
      <c r="J17" s="9"/>
      <c r="K17" s="7"/>
      <c r="L17" s="7"/>
      <c r="M17" s="9" t="str">
        <f aca="false">IF(AND(H17&lt;&gt;"",I17&lt;&gt;"",K17&lt;&gt;""),ABS(H17-I17)*K17,"")</f>
        <v/>
      </c>
      <c r="N17" s="9"/>
      <c r="O17" s="7"/>
      <c r="P17" s="9" t="str">
        <f aca="false">IF(N17&lt;&gt;"",(N17-H17)*K17*IF(E17="Buy",1,-1),"")</f>
        <v/>
      </c>
      <c r="Q17" s="10" t="str">
        <f aca="false">IF(AND(P17&lt;&gt;"",H17&lt;&gt;0,K17&lt;&gt;0),P17/(H17*K17),"")</f>
        <v/>
      </c>
      <c r="R17" s="11" t="str">
        <f aca="false">IF(AND(N17&lt;&gt;"",H17&lt;&gt;I17),IF(E17="Buy",(N17-H17)/(H17-I17),(H17-N17)/(I17-H17)),"")</f>
        <v/>
      </c>
      <c r="S17" s="7" t="str">
        <f aca="false">IF(D17="","",IF(N17&lt;&gt;"","Closed","Open"))</f>
        <v/>
      </c>
      <c r="T17" s="7"/>
    </row>
    <row r="18" customFormat="false" ht="15" hidden="false" customHeight="false" outlineLevel="0" collapsed="false">
      <c r="A18" s="7"/>
      <c r="B18" s="7"/>
      <c r="C18" s="7"/>
      <c r="D18" s="7"/>
      <c r="E18" s="7"/>
      <c r="F18" s="7"/>
      <c r="G18" s="8"/>
      <c r="H18" s="9"/>
      <c r="I18" s="9"/>
      <c r="J18" s="9"/>
      <c r="K18" s="7"/>
      <c r="L18" s="7"/>
      <c r="M18" s="9" t="str">
        <f aca="false">IF(AND(H18&lt;&gt;"",I18&lt;&gt;"",K18&lt;&gt;""),ABS(H18-I18)*K18,"")</f>
        <v/>
      </c>
      <c r="N18" s="9"/>
      <c r="O18" s="7"/>
      <c r="P18" s="9" t="str">
        <f aca="false">IF(N18&lt;&gt;"",(N18-H18)*K18*IF(E18="Buy",1,-1),"")</f>
        <v/>
      </c>
      <c r="Q18" s="10" t="str">
        <f aca="false">IF(AND(P18&lt;&gt;"",H18&lt;&gt;0,K18&lt;&gt;0),P18/(H18*K18),"")</f>
        <v/>
      </c>
      <c r="R18" s="11" t="str">
        <f aca="false">IF(AND(N18&lt;&gt;"",H18&lt;&gt;I18),IF(E18="Buy",(N18-H18)/(H18-I18),(H18-N18)/(I18-H18)),"")</f>
        <v/>
      </c>
      <c r="S18" s="7" t="str">
        <f aca="false">IF(D18="","",IF(N18&lt;&gt;"","Closed","Open"))</f>
        <v/>
      </c>
      <c r="T18" s="7"/>
    </row>
    <row r="19" customFormat="false" ht="15" hidden="false" customHeight="false" outlineLevel="0" collapsed="false">
      <c r="A19" s="7"/>
      <c r="B19" s="7"/>
      <c r="C19" s="7"/>
      <c r="D19" s="7"/>
      <c r="E19" s="7"/>
      <c r="F19" s="7"/>
      <c r="G19" s="8"/>
      <c r="H19" s="9"/>
      <c r="I19" s="9"/>
      <c r="J19" s="9"/>
      <c r="K19" s="7"/>
      <c r="L19" s="7"/>
      <c r="M19" s="9" t="str">
        <f aca="false">IF(AND(H19&lt;&gt;"",I19&lt;&gt;"",K19&lt;&gt;""),ABS(H19-I19)*K19,"")</f>
        <v/>
      </c>
      <c r="N19" s="9"/>
      <c r="O19" s="7"/>
      <c r="P19" s="9" t="str">
        <f aca="false">IF(N19&lt;&gt;"",(N19-H19)*K19*IF(E19="Buy",1,-1),"")</f>
        <v/>
      </c>
      <c r="Q19" s="10" t="str">
        <f aca="false">IF(AND(P19&lt;&gt;"",H19&lt;&gt;0,K19&lt;&gt;0),P19/(H19*K19),"")</f>
        <v/>
      </c>
      <c r="R19" s="11" t="str">
        <f aca="false">IF(AND(N19&lt;&gt;"",H19&lt;&gt;I19),IF(E19="Buy",(N19-H19)/(H19-I19),(H19-N19)/(I19-H19)),"")</f>
        <v/>
      </c>
      <c r="S19" s="7" t="str">
        <f aca="false">IF(D19="","",IF(N19&lt;&gt;"","Closed","Open"))</f>
        <v/>
      </c>
      <c r="T19" s="7"/>
    </row>
    <row r="20" customFormat="false" ht="15" hidden="false" customHeight="false" outlineLevel="0" collapsed="false">
      <c r="A20" s="7"/>
      <c r="B20" s="7"/>
      <c r="C20" s="7"/>
      <c r="D20" s="7"/>
      <c r="E20" s="7"/>
      <c r="F20" s="7"/>
      <c r="G20" s="8"/>
      <c r="H20" s="9"/>
      <c r="I20" s="9"/>
      <c r="J20" s="9"/>
      <c r="K20" s="7"/>
      <c r="L20" s="7"/>
      <c r="M20" s="9" t="str">
        <f aca="false">IF(AND(H20&lt;&gt;"",I20&lt;&gt;"",K20&lt;&gt;""),ABS(H20-I20)*K20,"")</f>
        <v/>
      </c>
      <c r="N20" s="9"/>
      <c r="O20" s="7"/>
      <c r="P20" s="9" t="str">
        <f aca="false">IF(N20&lt;&gt;"",(N20-H20)*K20*IF(E20="Buy",1,-1),"")</f>
        <v/>
      </c>
      <c r="Q20" s="10" t="str">
        <f aca="false">IF(AND(P20&lt;&gt;"",H20&lt;&gt;0,K20&lt;&gt;0),P20/(H20*K20),"")</f>
        <v/>
      </c>
      <c r="R20" s="11" t="str">
        <f aca="false">IF(AND(N20&lt;&gt;"",H20&lt;&gt;I20),IF(E20="Buy",(N20-H20)/(H20-I20),(H20-N20)/(I20-H20)),"")</f>
        <v/>
      </c>
      <c r="S20" s="7" t="str">
        <f aca="false">IF(D20="","",IF(N20&lt;&gt;"","Closed","Open"))</f>
        <v/>
      </c>
      <c r="T20" s="7"/>
    </row>
    <row r="21" customFormat="false" ht="15" hidden="false" customHeight="false" outlineLevel="0" collapsed="false">
      <c r="A21" s="7"/>
      <c r="B21" s="7"/>
      <c r="C21" s="7"/>
      <c r="D21" s="7"/>
      <c r="E21" s="7"/>
      <c r="F21" s="7"/>
      <c r="G21" s="8"/>
      <c r="H21" s="9"/>
      <c r="I21" s="9"/>
      <c r="J21" s="9"/>
      <c r="K21" s="7"/>
      <c r="L21" s="7"/>
      <c r="M21" s="9" t="str">
        <f aca="false">IF(AND(H21&lt;&gt;"",I21&lt;&gt;"",K21&lt;&gt;""),ABS(H21-I21)*K21,"")</f>
        <v/>
      </c>
      <c r="N21" s="9"/>
      <c r="O21" s="7"/>
      <c r="P21" s="9" t="str">
        <f aca="false">IF(N21&lt;&gt;"",(N21-H21)*K21*IF(E21="Buy",1,-1),"")</f>
        <v/>
      </c>
      <c r="Q21" s="10" t="str">
        <f aca="false">IF(AND(P21&lt;&gt;"",H21&lt;&gt;0,K21&lt;&gt;0),P21/(H21*K21),"")</f>
        <v/>
      </c>
      <c r="R21" s="11" t="str">
        <f aca="false">IF(AND(N21&lt;&gt;"",H21&lt;&gt;I21),IF(E21="Buy",(N21-H21)/(H21-I21),(H21-N21)/(I21-H21)),"")</f>
        <v/>
      </c>
      <c r="S21" s="7" t="str">
        <f aca="false">IF(D21="","",IF(N21&lt;&gt;"","Closed","Open"))</f>
        <v/>
      </c>
      <c r="T21" s="7"/>
    </row>
    <row r="22" customFormat="false" ht="15" hidden="false" customHeight="false" outlineLevel="0" collapsed="false">
      <c r="A22" s="7"/>
      <c r="B22" s="7"/>
      <c r="C22" s="7"/>
      <c r="D22" s="7"/>
      <c r="E22" s="7"/>
      <c r="F22" s="7"/>
      <c r="G22" s="8"/>
      <c r="H22" s="9"/>
      <c r="I22" s="9"/>
      <c r="J22" s="9"/>
      <c r="K22" s="7"/>
      <c r="L22" s="7"/>
      <c r="M22" s="9" t="str">
        <f aca="false">IF(AND(H22&lt;&gt;"",I22&lt;&gt;"",K22&lt;&gt;""),ABS(H22-I22)*K22,"")</f>
        <v/>
      </c>
      <c r="N22" s="9"/>
      <c r="O22" s="7"/>
      <c r="P22" s="9" t="str">
        <f aca="false">IF(N22&lt;&gt;"",(N22-H22)*K22*IF(E22="Buy",1,-1),"")</f>
        <v/>
      </c>
      <c r="Q22" s="10" t="str">
        <f aca="false">IF(AND(P22&lt;&gt;"",H22&lt;&gt;0,K22&lt;&gt;0),P22/(H22*K22),"")</f>
        <v/>
      </c>
      <c r="R22" s="11" t="str">
        <f aca="false">IF(AND(N22&lt;&gt;"",H22&lt;&gt;I22),IF(E22="Buy",(N22-H22)/(H22-I22),(H22-N22)/(I22-H22)),"")</f>
        <v/>
      </c>
      <c r="S22" s="7" t="str">
        <f aca="false">IF(D22="","",IF(N22&lt;&gt;"","Closed","Open"))</f>
        <v/>
      </c>
      <c r="T22" s="7"/>
    </row>
    <row r="23" customFormat="false" ht="15" hidden="false" customHeight="false" outlineLevel="0" collapsed="false">
      <c r="A23" s="7"/>
      <c r="B23" s="7"/>
      <c r="C23" s="7"/>
      <c r="D23" s="7"/>
      <c r="E23" s="7"/>
      <c r="F23" s="7"/>
      <c r="G23" s="8"/>
      <c r="H23" s="9"/>
      <c r="I23" s="9"/>
      <c r="J23" s="9"/>
      <c r="K23" s="7"/>
      <c r="L23" s="7"/>
      <c r="M23" s="9" t="str">
        <f aca="false">IF(AND(H23&lt;&gt;"",I23&lt;&gt;"",K23&lt;&gt;""),ABS(H23-I23)*K23,"")</f>
        <v/>
      </c>
      <c r="N23" s="9"/>
      <c r="O23" s="7"/>
      <c r="P23" s="9" t="str">
        <f aca="false">IF(N23&lt;&gt;"",(N23-H23)*K23*IF(E23="Buy",1,-1),"")</f>
        <v/>
      </c>
      <c r="Q23" s="10" t="str">
        <f aca="false">IF(AND(P23&lt;&gt;"",H23&lt;&gt;0,K23&lt;&gt;0),P23/(H23*K23),"")</f>
        <v/>
      </c>
      <c r="R23" s="11" t="str">
        <f aca="false">IF(AND(N23&lt;&gt;"",H23&lt;&gt;I23),IF(E23="Buy",(N23-H23)/(H23-I23),(H23-N23)/(I23-H23)),"")</f>
        <v/>
      </c>
      <c r="S23" s="7" t="str">
        <f aca="false">IF(D23="","",IF(N23&lt;&gt;"","Closed","Open"))</f>
        <v/>
      </c>
      <c r="T23" s="7"/>
    </row>
    <row r="24" customFormat="false" ht="15" hidden="false" customHeight="false" outlineLevel="0" collapsed="false">
      <c r="A24" s="7"/>
      <c r="B24" s="7"/>
      <c r="C24" s="7"/>
      <c r="D24" s="7"/>
      <c r="E24" s="7"/>
      <c r="F24" s="7"/>
      <c r="G24" s="8"/>
      <c r="H24" s="9"/>
      <c r="I24" s="9"/>
      <c r="J24" s="9"/>
      <c r="K24" s="7"/>
      <c r="L24" s="7"/>
      <c r="M24" s="9" t="str">
        <f aca="false">IF(AND(H24&lt;&gt;"",I24&lt;&gt;"",K24&lt;&gt;""),ABS(H24-I24)*K24,"")</f>
        <v/>
      </c>
      <c r="N24" s="9"/>
      <c r="O24" s="7"/>
      <c r="P24" s="9" t="str">
        <f aca="false">IF(N24&lt;&gt;"",(N24-H24)*K24*IF(E24="Buy",1,-1),"")</f>
        <v/>
      </c>
      <c r="Q24" s="10" t="str">
        <f aca="false">IF(AND(P24&lt;&gt;"",H24&lt;&gt;0,K24&lt;&gt;0),P24/(H24*K24),"")</f>
        <v/>
      </c>
      <c r="R24" s="11" t="str">
        <f aca="false">IF(AND(N24&lt;&gt;"",H24&lt;&gt;I24),IF(E24="Buy",(N24-H24)/(H24-I24),(H24-N24)/(I24-H24)),"")</f>
        <v/>
      </c>
      <c r="S24" s="7" t="str">
        <f aca="false">IF(D24="","",IF(N24&lt;&gt;"","Closed","Open"))</f>
        <v/>
      </c>
      <c r="T24" s="7"/>
    </row>
    <row r="25" customFormat="false" ht="15" hidden="false" customHeight="false" outlineLevel="0" collapsed="false">
      <c r="A25" s="7"/>
      <c r="B25" s="7"/>
      <c r="C25" s="7"/>
      <c r="D25" s="7"/>
      <c r="E25" s="7"/>
      <c r="F25" s="7"/>
      <c r="G25" s="8"/>
      <c r="H25" s="9"/>
      <c r="I25" s="9"/>
      <c r="J25" s="9"/>
      <c r="K25" s="7"/>
      <c r="L25" s="7"/>
      <c r="M25" s="9" t="str">
        <f aca="false">IF(AND(H25&lt;&gt;"",I25&lt;&gt;"",K25&lt;&gt;""),ABS(H25-I25)*K25,"")</f>
        <v/>
      </c>
      <c r="N25" s="9"/>
      <c r="O25" s="7"/>
      <c r="P25" s="9" t="str">
        <f aca="false">IF(N25&lt;&gt;"",(N25-H25)*K25*IF(E25="Buy",1,-1),"")</f>
        <v/>
      </c>
      <c r="Q25" s="10" t="str">
        <f aca="false">IF(AND(P25&lt;&gt;"",H25&lt;&gt;0,K25&lt;&gt;0),P25/(H25*K25),"")</f>
        <v/>
      </c>
      <c r="R25" s="11" t="str">
        <f aca="false">IF(AND(N25&lt;&gt;"",H25&lt;&gt;I25),IF(E25="Buy",(N25-H25)/(H25-I25),(H25-N25)/(I25-H25)),"")</f>
        <v/>
      </c>
      <c r="S25" s="7" t="str">
        <f aca="false">IF(D25="","",IF(N25&lt;&gt;"","Closed","Open"))</f>
        <v/>
      </c>
      <c r="T25" s="7"/>
    </row>
    <row r="26" customFormat="false" ht="15" hidden="false" customHeight="false" outlineLevel="0" collapsed="false">
      <c r="A26" s="7"/>
      <c r="B26" s="7"/>
      <c r="C26" s="7"/>
      <c r="D26" s="7"/>
      <c r="E26" s="7"/>
      <c r="F26" s="7"/>
      <c r="G26" s="8"/>
      <c r="H26" s="9"/>
      <c r="I26" s="9"/>
      <c r="J26" s="9"/>
      <c r="K26" s="7"/>
      <c r="L26" s="7"/>
      <c r="M26" s="9" t="str">
        <f aca="false">IF(AND(H26&lt;&gt;"",I26&lt;&gt;"",K26&lt;&gt;""),ABS(H26-I26)*K26,"")</f>
        <v/>
      </c>
      <c r="N26" s="9"/>
      <c r="O26" s="7"/>
      <c r="P26" s="9" t="str">
        <f aca="false">IF(N26&lt;&gt;"",(N26-H26)*K26*IF(E26="Buy",1,-1),"")</f>
        <v/>
      </c>
      <c r="Q26" s="10" t="str">
        <f aca="false">IF(AND(P26&lt;&gt;"",H26&lt;&gt;0,K26&lt;&gt;0),P26/(H26*K26),"")</f>
        <v/>
      </c>
      <c r="R26" s="11" t="str">
        <f aca="false">IF(AND(N26&lt;&gt;"",H26&lt;&gt;I26),IF(E26="Buy",(N26-H26)/(H26-I26),(H26-N26)/(I26-H26)),"")</f>
        <v/>
      </c>
      <c r="S26" s="7" t="str">
        <f aca="false">IF(D26="","",IF(N26&lt;&gt;"","Closed","Open"))</f>
        <v/>
      </c>
      <c r="T26" s="7"/>
    </row>
    <row r="27" customFormat="false" ht="15" hidden="false" customHeight="false" outlineLevel="0" collapsed="false">
      <c r="A27" s="7"/>
      <c r="B27" s="7"/>
      <c r="C27" s="7"/>
      <c r="D27" s="7"/>
      <c r="E27" s="7"/>
      <c r="F27" s="7"/>
      <c r="G27" s="8"/>
      <c r="H27" s="9"/>
      <c r="I27" s="9"/>
      <c r="J27" s="9"/>
      <c r="K27" s="7"/>
      <c r="L27" s="7"/>
      <c r="M27" s="9" t="str">
        <f aca="false">IF(AND(H27&lt;&gt;"",I27&lt;&gt;"",K27&lt;&gt;""),ABS(H27-I27)*K27,"")</f>
        <v/>
      </c>
      <c r="N27" s="9"/>
      <c r="O27" s="7"/>
      <c r="P27" s="9" t="str">
        <f aca="false">IF(N27&lt;&gt;"",(N27-H27)*K27*IF(E27="Buy",1,-1),"")</f>
        <v/>
      </c>
      <c r="Q27" s="10" t="str">
        <f aca="false">IF(AND(P27&lt;&gt;"",H27&lt;&gt;0,K27&lt;&gt;0),P27/(H27*K27),"")</f>
        <v/>
      </c>
      <c r="R27" s="11" t="str">
        <f aca="false">IF(AND(N27&lt;&gt;"",H27&lt;&gt;I27),IF(E27="Buy",(N27-H27)/(H27-I27),(H27-N27)/(I27-H27)),"")</f>
        <v/>
      </c>
      <c r="S27" s="7" t="str">
        <f aca="false">IF(D27="","",IF(N27&lt;&gt;"","Closed","Open"))</f>
        <v/>
      </c>
      <c r="T27" s="7"/>
    </row>
    <row r="28" customFormat="false" ht="15" hidden="false" customHeight="false" outlineLevel="0" collapsed="false">
      <c r="A28" s="7"/>
      <c r="B28" s="7"/>
      <c r="C28" s="7"/>
      <c r="D28" s="7"/>
      <c r="E28" s="7"/>
      <c r="F28" s="7"/>
      <c r="G28" s="8"/>
      <c r="H28" s="9"/>
      <c r="I28" s="9"/>
      <c r="J28" s="9"/>
      <c r="K28" s="7"/>
      <c r="L28" s="7"/>
      <c r="M28" s="9" t="str">
        <f aca="false">IF(AND(H28&lt;&gt;"",I28&lt;&gt;"",K28&lt;&gt;""),ABS(H28-I28)*K28,"")</f>
        <v/>
      </c>
      <c r="N28" s="9"/>
      <c r="O28" s="7"/>
      <c r="P28" s="9" t="str">
        <f aca="false">IF(N28&lt;&gt;"",(N28-H28)*K28*IF(E28="Buy",1,-1),"")</f>
        <v/>
      </c>
      <c r="Q28" s="10" t="str">
        <f aca="false">IF(AND(P28&lt;&gt;"",H28&lt;&gt;0,K28&lt;&gt;0),P28/(H28*K28),"")</f>
        <v/>
      </c>
      <c r="R28" s="11" t="str">
        <f aca="false">IF(AND(N28&lt;&gt;"",H28&lt;&gt;I28),IF(E28="Buy",(N28-H28)/(H28-I28),(H28-N28)/(I28-H28)),"")</f>
        <v/>
      </c>
      <c r="S28" s="7" t="str">
        <f aca="false">IF(D28="","",IF(N28&lt;&gt;"","Closed","Open"))</f>
        <v/>
      </c>
      <c r="T28" s="7"/>
    </row>
    <row r="29" customFormat="false" ht="15" hidden="false" customHeight="false" outlineLevel="0" collapsed="false">
      <c r="A29" s="7"/>
      <c r="B29" s="7"/>
      <c r="C29" s="7"/>
      <c r="D29" s="7"/>
      <c r="E29" s="7"/>
      <c r="F29" s="7"/>
      <c r="G29" s="8"/>
      <c r="H29" s="9"/>
      <c r="I29" s="9"/>
      <c r="J29" s="9"/>
      <c r="K29" s="7"/>
      <c r="L29" s="7"/>
      <c r="M29" s="9" t="str">
        <f aca="false">IF(AND(H29&lt;&gt;"",I29&lt;&gt;"",K29&lt;&gt;""),ABS(H29-I29)*K29,"")</f>
        <v/>
      </c>
      <c r="N29" s="9"/>
      <c r="O29" s="7"/>
      <c r="P29" s="9" t="str">
        <f aca="false">IF(N29&lt;&gt;"",(N29-H29)*K29*IF(E29="Buy",1,-1),"")</f>
        <v/>
      </c>
      <c r="Q29" s="10" t="str">
        <f aca="false">IF(AND(P29&lt;&gt;"",H29&lt;&gt;0,K29&lt;&gt;0),P29/(H29*K29),"")</f>
        <v/>
      </c>
      <c r="R29" s="11" t="str">
        <f aca="false">IF(AND(N29&lt;&gt;"",H29&lt;&gt;I29),IF(E29="Buy",(N29-H29)/(H29-I29),(H29-N29)/(I29-H29)),"")</f>
        <v/>
      </c>
      <c r="S29" s="7" t="str">
        <f aca="false">IF(D29="","",IF(N29&lt;&gt;"","Closed","Open"))</f>
        <v/>
      </c>
      <c r="T29" s="7"/>
    </row>
    <row r="30" customFormat="false" ht="15" hidden="false" customHeight="false" outlineLevel="0" collapsed="false">
      <c r="A30" s="7"/>
      <c r="B30" s="7"/>
      <c r="C30" s="7"/>
      <c r="D30" s="7"/>
      <c r="E30" s="7"/>
      <c r="F30" s="7"/>
      <c r="G30" s="8"/>
      <c r="H30" s="9"/>
      <c r="I30" s="9"/>
      <c r="J30" s="9"/>
      <c r="K30" s="7"/>
      <c r="L30" s="7"/>
      <c r="M30" s="9" t="str">
        <f aca="false">IF(AND(H30&lt;&gt;"",I30&lt;&gt;"",K30&lt;&gt;""),ABS(H30-I30)*K30,"")</f>
        <v/>
      </c>
      <c r="N30" s="9"/>
      <c r="O30" s="7"/>
      <c r="P30" s="9" t="str">
        <f aca="false">IF(N30&lt;&gt;"",(N30-H30)*K30*IF(E30="Buy",1,-1),"")</f>
        <v/>
      </c>
      <c r="Q30" s="10" t="str">
        <f aca="false">IF(AND(P30&lt;&gt;"",H30&lt;&gt;0,K30&lt;&gt;0),P30/(H30*K30),"")</f>
        <v/>
      </c>
      <c r="R30" s="11" t="str">
        <f aca="false">IF(AND(N30&lt;&gt;"",H30&lt;&gt;I30),IF(E30="Buy",(N30-H30)/(H30-I30),(H30-N30)/(I30-H30)),"")</f>
        <v/>
      </c>
      <c r="S30" s="7" t="str">
        <f aca="false">IF(D30="","",IF(N30&lt;&gt;"","Closed","Open"))</f>
        <v/>
      </c>
      <c r="T30" s="7"/>
    </row>
    <row r="31" customFormat="false" ht="15" hidden="false" customHeight="false" outlineLevel="0" collapsed="false">
      <c r="A31" s="7"/>
      <c r="B31" s="7"/>
      <c r="C31" s="7"/>
      <c r="D31" s="7"/>
      <c r="E31" s="7"/>
      <c r="F31" s="7"/>
      <c r="G31" s="8"/>
      <c r="H31" s="9"/>
      <c r="I31" s="9"/>
      <c r="J31" s="9"/>
      <c r="K31" s="7"/>
      <c r="L31" s="7"/>
      <c r="M31" s="9" t="str">
        <f aca="false">IF(AND(H31&lt;&gt;"",I31&lt;&gt;"",K31&lt;&gt;""),ABS(H31-I31)*K31,"")</f>
        <v/>
      </c>
      <c r="N31" s="9"/>
      <c r="O31" s="7"/>
      <c r="P31" s="9" t="str">
        <f aca="false">IF(N31&lt;&gt;"",(N31-H31)*K31*IF(E31="Buy",1,-1),"")</f>
        <v/>
      </c>
      <c r="Q31" s="10" t="str">
        <f aca="false">IF(AND(P31&lt;&gt;"",H31&lt;&gt;0,K31&lt;&gt;0),P31/(H31*K31),"")</f>
        <v/>
      </c>
      <c r="R31" s="11" t="str">
        <f aca="false">IF(AND(N31&lt;&gt;"",H31&lt;&gt;I31),IF(E31="Buy",(N31-H31)/(H31-I31),(H31-N31)/(I31-H31)),"")</f>
        <v/>
      </c>
      <c r="S31" s="7" t="str">
        <f aca="false">IF(D31="","",IF(N31&lt;&gt;"","Closed","Open"))</f>
        <v/>
      </c>
      <c r="T31" s="7"/>
    </row>
    <row r="32" customFormat="false" ht="15" hidden="false" customHeight="false" outlineLevel="0" collapsed="false">
      <c r="A32" s="7"/>
      <c r="B32" s="7"/>
      <c r="C32" s="7"/>
      <c r="D32" s="7"/>
      <c r="E32" s="7"/>
      <c r="F32" s="7"/>
      <c r="G32" s="8"/>
      <c r="H32" s="9"/>
      <c r="I32" s="9"/>
      <c r="J32" s="9"/>
      <c r="K32" s="7"/>
      <c r="L32" s="7"/>
      <c r="M32" s="9" t="str">
        <f aca="false">IF(AND(H32&lt;&gt;"",I32&lt;&gt;"",K32&lt;&gt;""),ABS(H32-I32)*K32,"")</f>
        <v/>
      </c>
      <c r="N32" s="9"/>
      <c r="O32" s="7"/>
      <c r="P32" s="9" t="str">
        <f aca="false">IF(N32&lt;&gt;"",(N32-H32)*K32*IF(E32="Buy",1,-1),"")</f>
        <v/>
      </c>
      <c r="Q32" s="10" t="str">
        <f aca="false">IF(AND(P32&lt;&gt;"",H32&lt;&gt;0,K32&lt;&gt;0),P32/(H32*K32),"")</f>
        <v/>
      </c>
      <c r="R32" s="11" t="str">
        <f aca="false">IF(AND(N32&lt;&gt;"",H32&lt;&gt;I32),IF(E32="Buy",(N32-H32)/(H32-I32),(H32-N32)/(I32-H32)),"")</f>
        <v/>
      </c>
      <c r="S32" s="7" t="str">
        <f aca="false">IF(D32="","",IF(N32&lt;&gt;"","Closed","Open"))</f>
        <v/>
      </c>
      <c r="T32" s="7"/>
    </row>
    <row r="33" customFormat="false" ht="15" hidden="false" customHeight="false" outlineLevel="0" collapsed="false">
      <c r="A33" s="7"/>
      <c r="B33" s="7"/>
      <c r="C33" s="7"/>
      <c r="D33" s="7"/>
      <c r="E33" s="7"/>
      <c r="F33" s="7"/>
      <c r="G33" s="8"/>
      <c r="H33" s="9"/>
      <c r="I33" s="9"/>
      <c r="J33" s="9"/>
      <c r="K33" s="7"/>
      <c r="L33" s="7"/>
      <c r="M33" s="9" t="str">
        <f aca="false">IF(AND(H33&lt;&gt;"",I33&lt;&gt;"",K33&lt;&gt;""),ABS(H33-I33)*K33,"")</f>
        <v/>
      </c>
      <c r="N33" s="9"/>
      <c r="O33" s="7"/>
      <c r="P33" s="9" t="str">
        <f aca="false">IF(N33&lt;&gt;"",(N33-H33)*K33*IF(E33="Buy",1,-1),"")</f>
        <v/>
      </c>
      <c r="Q33" s="10" t="str">
        <f aca="false">IF(AND(P33&lt;&gt;"",H33&lt;&gt;0,K33&lt;&gt;0),P33/(H33*K33),"")</f>
        <v/>
      </c>
      <c r="R33" s="11" t="str">
        <f aca="false">IF(AND(N33&lt;&gt;"",H33&lt;&gt;I33),IF(E33="Buy",(N33-H33)/(H33-I33),(H33-N33)/(I33-H33)),"")</f>
        <v/>
      </c>
      <c r="S33" s="7" t="str">
        <f aca="false">IF(D33="","",IF(N33&lt;&gt;"","Closed","Open"))</f>
        <v/>
      </c>
      <c r="T33" s="7"/>
    </row>
    <row r="34" customFormat="false" ht="15" hidden="false" customHeight="false" outlineLevel="0" collapsed="false">
      <c r="A34" s="7"/>
      <c r="B34" s="7"/>
      <c r="C34" s="7"/>
      <c r="D34" s="7"/>
      <c r="E34" s="7"/>
      <c r="F34" s="7"/>
      <c r="G34" s="8"/>
      <c r="H34" s="9"/>
      <c r="I34" s="9"/>
      <c r="J34" s="9"/>
      <c r="K34" s="7"/>
      <c r="L34" s="7"/>
      <c r="M34" s="9" t="str">
        <f aca="false">IF(AND(H34&lt;&gt;"",I34&lt;&gt;"",K34&lt;&gt;""),ABS(H34-I34)*K34,"")</f>
        <v/>
      </c>
      <c r="N34" s="9"/>
      <c r="O34" s="7"/>
      <c r="P34" s="9" t="str">
        <f aca="false">IF(N34&lt;&gt;"",(N34-H34)*K34*IF(E34="Buy",1,-1),"")</f>
        <v/>
      </c>
      <c r="Q34" s="10" t="str">
        <f aca="false">IF(AND(P34&lt;&gt;"",H34&lt;&gt;0,K34&lt;&gt;0),P34/(H34*K34),"")</f>
        <v/>
      </c>
      <c r="R34" s="11" t="str">
        <f aca="false">IF(AND(N34&lt;&gt;"",H34&lt;&gt;I34),IF(E34="Buy",(N34-H34)/(H34-I34),(H34-N34)/(I34-H34)),"")</f>
        <v/>
      </c>
      <c r="S34" s="7" t="str">
        <f aca="false">IF(D34="","",IF(N34&lt;&gt;"","Closed","Open"))</f>
        <v/>
      </c>
      <c r="T34" s="7"/>
    </row>
    <row r="35" customFormat="false" ht="15" hidden="false" customHeight="false" outlineLevel="0" collapsed="false">
      <c r="A35" s="7"/>
      <c r="B35" s="7"/>
      <c r="C35" s="7"/>
      <c r="D35" s="7"/>
      <c r="E35" s="7"/>
      <c r="F35" s="7"/>
      <c r="G35" s="8"/>
      <c r="H35" s="9"/>
      <c r="I35" s="9"/>
      <c r="J35" s="9"/>
      <c r="K35" s="7"/>
      <c r="L35" s="7"/>
      <c r="M35" s="9" t="str">
        <f aca="false">IF(AND(H35&lt;&gt;"",I35&lt;&gt;"",K35&lt;&gt;""),ABS(H35-I35)*K35,"")</f>
        <v/>
      </c>
      <c r="N35" s="9"/>
      <c r="O35" s="7"/>
      <c r="P35" s="9" t="str">
        <f aca="false">IF(N35&lt;&gt;"",(N35-H35)*K35*IF(E35="Buy",1,-1),"")</f>
        <v/>
      </c>
      <c r="Q35" s="10" t="str">
        <f aca="false">IF(AND(P35&lt;&gt;"",H35&lt;&gt;0,K35&lt;&gt;0),P35/(H35*K35),"")</f>
        <v/>
      </c>
      <c r="R35" s="11" t="str">
        <f aca="false">IF(AND(N35&lt;&gt;"",H35&lt;&gt;I35),IF(E35="Buy",(N35-H35)/(H35-I35),(H35-N35)/(I35-H35)),"")</f>
        <v/>
      </c>
      <c r="S35" s="7" t="str">
        <f aca="false">IF(D35="","",IF(N35&lt;&gt;"","Closed","Open"))</f>
        <v/>
      </c>
      <c r="T35" s="7"/>
    </row>
    <row r="36" customFormat="false" ht="15" hidden="false" customHeight="false" outlineLevel="0" collapsed="false">
      <c r="A36" s="7"/>
      <c r="B36" s="7"/>
      <c r="C36" s="7"/>
      <c r="D36" s="7"/>
      <c r="E36" s="7"/>
      <c r="F36" s="7"/>
      <c r="G36" s="8"/>
      <c r="H36" s="9"/>
      <c r="I36" s="9"/>
      <c r="J36" s="9"/>
      <c r="K36" s="7"/>
      <c r="L36" s="7"/>
      <c r="M36" s="9" t="str">
        <f aca="false">IF(AND(H36&lt;&gt;"",I36&lt;&gt;"",K36&lt;&gt;""),ABS(H36-I36)*K36,"")</f>
        <v/>
      </c>
      <c r="N36" s="9"/>
      <c r="O36" s="7"/>
      <c r="P36" s="9" t="str">
        <f aca="false">IF(N36&lt;&gt;"",(N36-H36)*K36*IF(E36="Buy",1,-1),"")</f>
        <v/>
      </c>
      <c r="Q36" s="10" t="str">
        <f aca="false">IF(AND(P36&lt;&gt;"",H36&lt;&gt;0,K36&lt;&gt;0),P36/(H36*K36),"")</f>
        <v/>
      </c>
      <c r="R36" s="11" t="str">
        <f aca="false">IF(AND(N36&lt;&gt;"",H36&lt;&gt;I36),IF(E36="Buy",(N36-H36)/(H36-I36),(H36-N36)/(I36-H36)),"")</f>
        <v/>
      </c>
      <c r="S36" s="7" t="str">
        <f aca="false">IF(D36="","",IF(N36&lt;&gt;"","Closed","Open"))</f>
        <v/>
      </c>
      <c r="T36" s="7"/>
    </row>
    <row r="37" customFormat="false" ht="15" hidden="false" customHeight="false" outlineLevel="0" collapsed="false">
      <c r="A37" s="7"/>
      <c r="B37" s="7"/>
      <c r="C37" s="7"/>
      <c r="D37" s="7"/>
      <c r="E37" s="7"/>
      <c r="F37" s="7"/>
      <c r="G37" s="8"/>
      <c r="H37" s="9"/>
      <c r="I37" s="9"/>
      <c r="J37" s="9"/>
      <c r="K37" s="7"/>
      <c r="L37" s="7"/>
      <c r="M37" s="9" t="str">
        <f aca="false">IF(AND(H37&lt;&gt;"",I37&lt;&gt;"",K37&lt;&gt;""),ABS(H37-I37)*K37,"")</f>
        <v/>
      </c>
      <c r="N37" s="9"/>
      <c r="O37" s="7"/>
      <c r="P37" s="9" t="str">
        <f aca="false">IF(N37&lt;&gt;"",(N37-H37)*K37*IF(E37="Buy",1,-1),"")</f>
        <v/>
      </c>
      <c r="Q37" s="10" t="str">
        <f aca="false">IF(AND(P37&lt;&gt;"",H37&lt;&gt;0,K37&lt;&gt;0),P37/(H37*K37),"")</f>
        <v/>
      </c>
      <c r="R37" s="11" t="str">
        <f aca="false">IF(AND(N37&lt;&gt;"",H37&lt;&gt;I37),IF(E37="Buy",(N37-H37)/(H37-I37),(H37-N37)/(I37-H37)),"")</f>
        <v/>
      </c>
      <c r="S37" s="7" t="str">
        <f aca="false">IF(D37="","",IF(N37&lt;&gt;"","Closed","Open"))</f>
        <v/>
      </c>
      <c r="T37" s="7"/>
    </row>
    <row r="38" customFormat="false" ht="15" hidden="false" customHeight="false" outlineLevel="0" collapsed="false">
      <c r="A38" s="7"/>
      <c r="B38" s="7"/>
      <c r="C38" s="7"/>
      <c r="D38" s="7"/>
      <c r="E38" s="7"/>
      <c r="F38" s="7"/>
      <c r="G38" s="8"/>
      <c r="H38" s="9"/>
      <c r="I38" s="9"/>
      <c r="J38" s="9"/>
      <c r="K38" s="7"/>
      <c r="L38" s="7"/>
      <c r="M38" s="9" t="str">
        <f aca="false">IF(AND(H38&lt;&gt;"",I38&lt;&gt;"",K38&lt;&gt;""),ABS(H38-I38)*K38,"")</f>
        <v/>
      </c>
      <c r="N38" s="9"/>
      <c r="O38" s="7"/>
      <c r="P38" s="9" t="str">
        <f aca="false">IF(N38&lt;&gt;"",(N38-H38)*K38*IF(E38="Buy",1,-1),"")</f>
        <v/>
      </c>
      <c r="Q38" s="10" t="str">
        <f aca="false">IF(AND(P38&lt;&gt;"",H38&lt;&gt;0,K38&lt;&gt;0),P38/(H38*K38),"")</f>
        <v/>
      </c>
      <c r="R38" s="11" t="str">
        <f aca="false">IF(AND(N38&lt;&gt;"",H38&lt;&gt;I38),IF(E38="Buy",(N38-H38)/(H38-I38),(H38-N38)/(I38-H38)),"")</f>
        <v/>
      </c>
      <c r="S38" s="7" t="str">
        <f aca="false">IF(D38="","",IF(N38&lt;&gt;"","Closed","Open"))</f>
        <v/>
      </c>
      <c r="T38" s="7"/>
    </row>
    <row r="39" customFormat="false" ht="15" hidden="false" customHeight="false" outlineLevel="0" collapsed="false">
      <c r="A39" s="7"/>
      <c r="B39" s="7"/>
      <c r="C39" s="7"/>
      <c r="D39" s="7"/>
      <c r="E39" s="7"/>
      <c r="F39" s="7"/>
      <c r="G39" s="8"/>
      <c r="H39" s="9"/>
      <c r="I39" s="9"/>
      <c r="J39" s="9"/>
      <c r="K39" s="7"/>
      <c r="L39" s="7"/>
      <c r="M39" s="9" t="str">
        <f aca="false">IF(AND(H39&lt;&gt;"",I39&lt;&gt;"",K39&lt;&gt;""),ABS(H39-I39)*K39,"")</f>
        <v/>
      </c>
      <c r="N39" s="9"/>
      <c r="O39" s="7"/>
      <c r="P39" s="9" t="str">
        <f aca="false">IF(N39&lt;&gt;"",(N39-H39)*K39*IF(E39="Buy",1,-1),"")</f>
        <v/>
      </c>
      <c r="Q39" s="10" t="str">
        <f aca="false">IF(AND(P39&lt;&gt;"",H39&lt;&gt;0,K39&lt;&gt;0),P39/(H39*K39),"")</f>
        <v/>
      </c>
      <c r="R39" s="11" t="str">
        <f aca="false">IF(AND(N39&lt;&gt;"",H39&lt;&gt;I39),IF(E39="Buy",(N39-H39)/(H39-I39),(H39-N39)/(I39-H39)),"")</f>
        <v/>
      </c>
      <c r="S39" s="7" t="str">
        <f aca="false">IF(D39="","",IF(N39&lt;&gt;"","Closed","Open"))</f>
        <v/>
      </c>
      <c r="T39" s="7"/>
    </row>
    <row r="40" customFormat="false" ht="15" hidden="false" customHeight="false" outlineLevel="0" collapsed="false">
      <c r="A40" s="7"/>
      <c r="B40" s="7"/>
      <c r="C40" s="7"/>
      <c r="D40" s="7"/>
      <c r="E40" s="7"/>
      <c r="F40" s="7"/>
      <c r="G40" s="8"/>
      <c r="H40" s="9"/>
      <c r="I40" s="9"/>
      <c r="J40" s="9"/>
      <c r="K40" s="7"/>
      <c r="L40" s="7"/>
      <c r="M40" s="9" t="str">
        <f aca="false">IF(AND(H40&lt;&gt;"",I40&lt;&gt;"",K40&lt;&gt;""),ABS(H40-I40)*K40,"")</f>
        <v/>
      </c>
      <c r="N40" s="9"/>
      <c r="O40" s="7"/>
      <c r="P40" s="9" t="str">
        <f aca="false">IF(N40&lt;&gt;"",(N40-H40)*K40*IF(E40="Buy",1,-1),"")</f>
        <v/>
      </c>
      <c r="Q40" s="10" t="str">
        <f aca="false">IF(AND(P40&lt;&gt;"",H40&lt;&gt;0,K40&lt;&gt;0),P40/(H40*K40),"")</f>
        <v/>
      </c>
      <c r="R40" s="11" t="str">
        <f aca="false">IF(AND(N40&lt;&gt;"",H40&lt;&gt;I40),IF(E40="Buy",(N40-H40)/(H40-I40),(H40-N40)/(I40-H40)),"")</f>
        <v/>
      </c>
      <c r="S40" s="7" t="str">
        <f aca="false">IF(D40="","",IF(N40&lt;&gt;"","Closed","Open"))</f>
        <v/>
      </c>
      <c r="T40" s="7"/>
    </row>
    <row r="41" customFormat="false" ht="15" hidden="false" customHeight="false" outlineLevel="0" collapsed="false">
      <c r="A41" s="7"/>
      <c r="B41" s="7"/>
      <c r="C41" s="7"/>
      <c r="D41" s="7"/>
      <c r="E41" s="7"/>
      <c r="F41" s="7"/>
      <c r="G41" s="8"/>
      <c r="H41" s="9"/>
      <c r="I41" s="9"/>
      <c r="J41" s="9"/>
      <c r="K41" s="7"/>
      <c r="L41" s="7"/>
      <c r="M41" s="9" t="str">
        <f aca="false">IF(AND(H41&lt;&gt;"",I41&lt;&gt;"",K41&lt;&gt;""),ABS(H41-I41)*K41,"")</f>
        <v/>
      </c>
      <c r="N41" s="9"/>
      <c r="O41" s="7"/>
      <c r="P41" s="9" t="str">
        <f aca="false">IF(N41&lt;&gt;"",(N41-H41)*K41*IF(E41="Buy",1,-1),"")</f>
        <v/>
      </c>
      <c r="Q41" s="10" t="str">
        <f aca="false">IF(AND(P41&lt;&gt;"",H41&lt;&gt;0,K41&lt;&gt;0),P41/(H41*K41),"")</f>
        <v/>
      </c>
      <c r="R41" s="11" t="str">
        <f aca="false">IF(AND(N41&lt;&gt;"",H41&lt;&gt;I41),IF(E41="Buy",(N41-H41)/(H41-I41),(H41-N41)/(I41-H41)),"")</f>
        <v/>
      </c>
      <c r="S41" s="7" t="str">
        <f aca="false">IF(D41="","",IF(N41&lt;&gt;"","Closed","Open"))</f>
        <v/>
      </c>
      <c r="T41" s="7"/>
    </row>
    <row r="42" customFormat="false" ht="15" hidden="false" customHeight="false" outlineLevel="0" collapsed="false">
      <c r="A42" s="7"/>
      <c r="B42" s="7"/>
      <c r="C42" s="7"/>
      <c r="D42" s="7"/>
      <c r="E42" s="7"/>
      <c r="F42" s="7"/>
      <c r="G42" s="8"/>
      <c r="H42" s="9"/>
      <c r="I42" s="9"/>
      <c r="J42" s="9"/>
      <c r="K42" s="7"/>
      <c r="L42" s="7"/>
      <c r="M42" s="9" t="str">
        <f aca="false">IF(AND(H42&lt;&gt;"",I42&lt;&gt;"",K42&lt;&gt;""),ABS(H42-I42)*K42,"")</f>
        <v/>
      </c>
      <c r="N42" s="9"/>
      <c r="O42" s="7"/>
      <c r="P42" s="9" t="str">
        <f aca="false">IF(N42&lt;&gt;"",(N42-H42)*K42*IF(E42="Buy",1,-1),"")</f>
        <v/>
      </c>
      <c r="Q42" s="10" t="str">
        <f aca="false">IF(AND(P42&lt;&gt;"",H42&lt;&gt;0,K42&lt;&gt;0),P42/(H42*K42),"")</f>
        <v/>
      </c>
      <c r="R42" s="11" t="str">
        <f aca="false">IF(AND(N42&lt;&gt;"",H42&lt;&gt;I42),IF(E42="Buy",(N42-H42)/(H42-I42),(H42-N42)/(I42-H42)),"")</f>
        <v/>
      </c>
      <c r="S42" s="7" t="str">
        <f aca="false">IF(D42="","",IF(N42&lt;&gt;"","Closed","Open"))</f>
        <v/>
      </c>
      <c r="T42" s="7"/>
    </row>
    <row r="43" customFormat="false" ht="15" hidden="false" customHeight="false" outlineLevel="0" collapsed="false">
      <c r="A43" s="7"/>
      <c r="B43" s="7"/>
      <c r="C43" s="7"/>
      <c r="D43" s="7"/>
      <c r="E43" s="7"/>
      <c r="F43" s="7"/>
      <c r="G43" s="8"/>
      <c r="H43" s="9"/>
      <c r="I43" s="9"/>
      <c r="J43" s="9"/>
      <c r="K43" s="7"/>
      <c r="L43" s="7"/>
      <c r="M43" s="9" t="str">
        <f aca="false">IF(AND(H43&lt;&gt;"",I43&lt;&gt;"",K43&lt;&gt;""),ABS(H43-I43)*K43,"")</f>
        <v/>
      </c>
      <c r="N43" s="9"/>
      <c r="O43" s="7"/>
      <c r="P43" s="9" t="str">
        <f aca="false">IF(N43&lt;&gt;"",(N43-H43)*K43*IF(E43="Buy",1,-1),"")</f>
        <v/>
      </c>
      <c r="Q43" s="10" t="str">
        <f aca="false">IF(AND(P43&lt;&gt;"",H43&lt;&gt;0,K43&lt;&gt;0),P43/(H43*K43),"")</f>
        <v/>
      </c>
      <c r="R43" s="11" t="str">
        <f aca="false">IF(AND(N43&lt;&gt;"",H43&lt;&gt;I43),IF(E43="Buy",(N43-H43)/(H43-I43),(H43-N43)/(I43-H43)),"")</f>
        <v/>
      </c>
      <c r="S43" s="7" t="str">
        <f aca="false">IF(D43="","",IF(N43&lt;&gt;"","Closed","Open"))</f>
        <v/>
      </c>
      <c r="T43" s="7"/>
    </row>
    <row r="44" customFormat="false" ht="15" hidden="false" customHeight="false" outlineLevel="0" collapsed="false">
      <c r="A44" s="7"/>
      <c r="B44" s="7"/>
      <c r="C44" s="7"/>
      <c r="D44" s="7"/>
      <c r="E44" s="7"/>
      <c r="F44" s="7"/>
      <c r="G44" s="8"/>
      <c r="H44" s="9"/>
      <c r="I44" s="9"/>
      <c r="J44" s="9"/>
      <c r="K44" s="7"/>
      <c r="L44" s="7"/>
      <c r="M44" s="9" t="str">
        <f aca="false">IF(AND(H44&lt;&gt;"",I44&lt;&gt;"",K44&lt;&gt;""),ABS(H44-I44)*K44,"")</f>
        <v/>
      </c>
      <c r="N44" s="9"/>
      <c r="O44" s="7"/>
      <c r="P44" s="9" t="str">
        <f aca="false">IF(N44&lt;&gt;"",(N44-H44)*K44*IF(E44="Buy",1,-1),"")</f>
        <v/>
      </c>
      <c r="Q44" s="10" t="str">
        <f aca="false">IF(AND(P44&lt;&gt;"",H44&lt;&gt;0,K44&lt;&gt;0),P44/(H44*K44),"")</f>
        <v/>
      </c>
      <c r="R44" s="11" t="str">
        <f aca="false">IF(AND(N44&lt;&gt;"",H44&lt;&gt;I44),IF(E44="Buy",(N44-H44)/(H44-I44),(H44-N44)/(I44-H44)),"")</f>
        <v/>
      </c>
      <c r="S44" s="7" t="str">
        <f aca="false">IF(D44="","",IF(N44&lt;&gt;"","Closed","Open"))</f>
        <v/>
      </c>
      <c r="T44" s="7"/>
    </row>
    <row r="45" customFormat="false" ht="15" hidden="false" customHeight="false" outlineLevel="0" collapsed="false">
      <c r="A45" s="7"/>
      <c r="B45" s="7"/>
      <c r="C45" s="7"/>
      <c r="D45" s="7"/>
      <c r="E45" s="7"/>
      <c r="F45" s="7"/>
      <c r="G45" s="8"/>
      <c r="H45" s="9"/>
      <c r="I45" s="9"/>
      <c r="J45" s="9"/>
      <c r="K45" s="7"/>
      <c r="L45" s="7"/>
      <c r="M45" s="9" t="str">
        <f aca="false">IF(AND(H45&lt;&gt;"",I45&lt;&gt;"",K45&lt;&gt;""),ABS(H45-I45)*K45,"")</f>
        <v/>
      </c>
      <c r="N45" s="9"/>
      <c r="O45" s="7"/>
      <c r="P45" s="9" t="str">
        <f aca="false">IF(N45&lt;&gt;"",(N45-H45)*K45*IF(E45="Buy",1,-1),"")</f>
        <v/>
      </c>
      <c r="Q45" s="10" t="str">
        <f aca="false">IF(AND(P45&lt;&gt;"",H45&lt;&gt;0,K45&lt;&gt;0),P45/(H45*K45),"")</f>
        <v/>
      </c>
      <c r="R45" s="11" t="str">
        <f aca="false">IF(AND(N45&lt;&gt;"",H45&lt;&gt;I45),IF(E45="Buy",(N45-H45)/(H45-I45),(H45-N45)/(I45-H45)),"")</f>
        <v/>
      </c>
      <c r="S45" s="7" t="str">
        <f aca="false">IF(D45="","",IF(N45&lt;&gt;"","Closed","Open"))</f>
        <v/>
      </c>
      <c r="T45" s="7"/>
    </row>
    <row r="46" customFormat="false" ht="15" hidden="false" customHeight="false" outlineLevel="0" collapsed="false">
      <c r="A46" s="7"/>
      <c r="B46" s="7"/>
      <c r="C46" s="7"/>
      <c r="D46" s="7"/>
      <c r="E46" s="7"/>
      <c r="F46" s="7"/>
      <c r="G46" s="8"/>
      <c r="H46" s="9"/>
      <c r="I46" s="9"/>
      <c r="J46" s="9"/>
      <c r="K46" s="7"/>
      <c r="L46" s="7"/>
      <c r="M46" s="9" t="str">
        <f aca="false">IF(AND(H46&lt;&gt;"",I46&lt;&gt;"",K46&lt;&gt;""),ABS(H46-I46)*K46,"")</f>
        <v/>
      </c>
      <c r="N46" s="9"/>
      <c r="O46" s="7"/>
      <c r="P46" s="9" t="str">
        <f aca="false">IF(N46&lt;&gt;"",(N46-H46)*K46*IF(E46="Buy",1,-1),"")</f>
        <v/>
      </c>
      <c r="Q46" s="10" t="str">
        <f aca="false">IF(AND(P46&lt;&gt;"",H46&lt;&gt;0,K46&lt;&gt;0),P46/(H46*K46),"")</f>
        <v/>
      </c>
      <c r="R46" s="11" t="str">
        <f aca="false">IF(AND(N46&lt;&gt;"",H46&lt;&gt;I46),IF(E46="Buy",(N46-H46)/(H46-I46),(H46-N46)/(I46-H46)),"")</f>
        <v/>
      </c>
      <c r="S46" s="7" t="str">
        <f aca="false">IF(D46="","",IF(N46&lt;&gt;"","Closed","Open"))</f>
        <v/>
      </c>
      <c r="T46" s="7"/>
    </row>
    <row r="47" customFormat="false" ht="15" hidden="false" customHeight="false" outlineLevel="0" collapsed="false">
      <c r="A47" s="7"/>
      <c r="B47" s="7"/>
      <c r="C47" s="7"/>
      <c r="D47" s="7"/>
      <c r="E47" s="7"/>
      <c r="F47" s="7"/>
      <c r="G47" s="8"/>
      <c r="H47" s="9"/>
      <c r="I47" s="9"/>
      <c r="J47" s="9"/>
      <c r="K47" s="7"/>
      <c r="L47" s="7"/>
      <c r="M47" s="9" t="str">
        <f aca="false">IF(AND(H47&lt;&gt;"",I47&lt;&gt;"",K47&lt;&gt;""),ABS(H47-I47)*K47,"")</f>
        <v/>
      </c>
      <c r="N47" s="9"/>
      <c r="O47" s="7"/>
      <c r="P47" s="9" t="str">
        <f aca="false">IF(N47&lt;&gt;"",(N47-H47)*K47*IF(E47="Buy",1,-1),"")</f>
        <v/>
      </c>
      <c r="Q47" s="10" t="str">
        <f aca="false">IF(AND(P47&lt;&gt;"",H47&lt;&gt;0,K47&lt;&gt;0),P47/(H47*K47),"")</f>
        <v/>
      </c>
      <c r="R47" s="11" t="str">
        <f aca="false">IF(AND(N47&lt;&gt;"",H47&lt;&gt;I47),IF(E47="Buy",(N47-H47)/(H47-I47),(H47-N47)/(I47-H47)),"")</f>
        <v/>
      </c>
      <c r="S47" s="7" t="str">
        <f aca="false">IF(D47="","",IF(N47&lt;&gt;"","Closed","Open"))</f>
        <v/>
      </c>
      <c r="T47" s="7"/>
    </row>
    <row r="48" customFormat="false" ht="15" hidden="false" customHeight="false" outlineLevel="0" collapsed="false">
      <c r="A48" s="7"/>
      <c r="B48" s="7"/>
      <c r="C48" s="7"/>
      <c r="D48" s="7"/>
      <c r="E48" s="7"/>
      <c r="F48" s="7"/>
      <c r="G48" s="8"/>
      <c r="H48" s="9"/>
      <c r="I48" s="9"/>
      <c r="J48" s="9"/>
      <c r="K48" s="7"/>
      <c r="L48" s="7"/>
      <c r="M48" s="9" t="str">
        <f aca="false">IF(AND(H48&lt;&gt;"",I48&lt;&gt;"",K48&lt;&gt;""),ABS(H48-I48)*K48,"")</f>
        <v/>
      </c>
      <c r="N48" s="9"/>
      <c r="O48" s="7"/>
      <c r="P48" s="9" t="str">
        <f aca="false">IF(N48&lt;&gt;"",(N48-H48)*K48*IF(E48="Buy",1,-1),"")</f>
        <v/>
      </c>
      <c r="Q48" s="10" t="str">
        <f aca="false">IF(AND(P48&lt;&gt;"",H48&lt;&gt;0,K48&lt;&gt;0),P48/(H48*K48),"")</f>
        <v/>
      </c>
      <c r="R48" s="11" t="str">
        <f aca="false">IF(AND(N48&lt;&gt;"",H48&lt;&gt;I48),IF(E48="Buy",(N48-H48)/(H48-I48),(H48-N48)/(I48-H48)),"")</f>
        <v/>
      </c>
      <c r="S48" s="7" t="str">
        <f aca="false">IF(D48="","",IF(N48&lt;&gt;"","Closed","Open"))</f>
        <v/>
      </c>
      <c r="T48" s="7"/>
    </row>
    <row r="49" customFormat="false" ht="15" hidden="false" customHeight="false" outlineLevel="0" collapsed="false">
      <c r="A49" s="7"/>
      <c r="B49" s="7"/>
      <c r="C49" s="7"/>
      <c r="D49" s="7"/>
      <c r="E49" s="7"/>
      <c r="F49" s="7"/>
      <c r="G49" s="8"/>
      <c r="H49" s="9"/>
      <c r="I49" s="9"/>
      <c r="J49" s="9"/>
      <c r="K49" s="7"/>
      <c r="L49" s="7"/>
      <c r="M49" s="9" t="str">
        <f aca="false">IF(AND(H49&lt;&gt;"",I49&lt;&gt;"",K49&lt;&gt;""),ABS(H49-I49)*K49,"")</f>
        <v/>
      </c>
      <c r="N49" s="9"/>
      <c r="O49" s="7"/>
      <c r="P49" s="9" t="str">
        <f aca="false">IF(N49&lt;&gt;"",(N49-H49)*K49*IF(E49="Buy",1,-1),"")</f>
        <v/>
      </c>
      <c r="Q49" s="10" t="str">
        <f aca="false">IF(AND(P49&lt;&gt;"",H49&lt;&gt;0,K49&lt;&gt;0),P49/(H49*K49),"")</f>
        <v/>
      </c>
      <c r="R49" s="11" t="str">
        <f aca="false">IF(AND(N49&lt;&gt;"",H49&lt;&gt;I49),IF(E49="Buy",(N49-H49)/(H49-I49),(H49-N49)/(I49-H49)),"")</f>
        <v/>
      </c>
      <c r="S49" s="7" t="str">
        <f aca="false">IF(D49="","",IF(N49&lt;&gt;"","Closed","Open"))</f>
        <v/>
      </c>
      <c r="T49" s="7"/>
    </row>
    <row r="50" customFormat="false" ht="15" hidden="false" customHeight="false" outlineLevel="0" collapsed="false">
      <c r="A50" s="7"/>
      <c r="B50" s="7"/>
      <c r="C50" s="7"/>
      <c r="D50" s="7"/>
      <c r="E50" s="7"/>
      <c r="F50" s="7"/>
      <c r="G50" s="8"/>
      <c r="H50" s="9"/>
      <c r="I50" s="9"/>
      <c r="J50" s="9"/>
      <c r="K50" s="7"/>
      <c r="L50" s="7"/>
      <c r="M50" s="9" t="str">
        <f aca="false">IF(AND(H50&lt;&gt;"",I50&lt;&gt;"",K50&lt;&gt;""),ABS(H50-I50)*K50,"")</f>
        <v/>
      </c>
      <c r="N50" s="9"/>
      <c r="O50" s="7"/>
      <c r="P50" s="9" t="str">
        <f aca="false">IF(N50&lt;&gt;"",(N50-H50)*K50*IF(E50="Buy",1,-1),"")</f>
        <v/>
      </c>
      <c r="Q50" s="10" t="str">
        <f aca="false">IF(AND(P50&lt;&gt;"",H50&lt;&gt;0,K50&lt;&gt;0),P50/(H50*K50),"")</f>
        <v/>
      </c>
      <c r="R50" s="11" t="str">
        <f aca="false">IF(AND(N50&lt;&gt;"",H50&lt;&gt;I50),IF(E50="Buy",(N50-H50)/(H50-I50),(H50-N50)/(I50-H50)),"")</f>
        <v/>
      </c>
      <c r="S50" s="7" t="str">
        <f aca="false">IF(D50="","",IF(N50&lt;&gt;"","Closed","Open"))</f>
        <v/>
      </c>
      <c r="T50" s="7"/>
    </row>
    <row r="51" customFormat="false" ht="15" hidden="false" customHeight="false" outlineLevel="0" collapsed="false">
      <c r="A51" s="7"/>
      <c r="B51" s="7"/>
      <c r="C51" s="7"/>
      <c r="D51" s="7"/>
      <c r="E51" s="7"/>
      <c r="F51" s="7"/>
      <c r="G51" s="8"/>
      <c r="H51" s="9"/>
      <c r="I51" s="9"/>
      <c r="J51" s="9"/>
      <c r="K51" s="7"/>
      <c r="L51" s="7"/>
      <c r="M51" s="9" t="str">
        <f aca="false">IF(AND(H51&lt;&gt;"",I51&lt;&gt;"",K51&lt;&gt;""),ABS(H51-I51)*K51,"")</f>
        <v/>
      </c>
      <c r="N51" s="9"/>
      <c r="O51" s="7"/>
      <c r="P51" s="9" t="str">
        <f aca="false">IF(N51&lt;&gt;"",(N51-H51)*K51*IF(E51="Buy",1,-1),"")</f>
        <v/>
      </c>
      <c r="Q51" s="10" t="str">
        <f aca="false">IF(AND(P51&lt;&gt;"",H51&lt;&gt;0,K51&lt;&gt;0),P51/(H51*K51),"")</f>
        <v/>
      </c>
      <c r="R51" s="11" t="str">
        <f aca="false">IF(AND(N51&lt;&gt;"",H51&lt;&gt;I51),IF(E51="Buy",(N51-H51)/(H51-I51),(H51-N51)/(I51-H51)),"")</f>
        <v/>
      </c>
      <c r="S51" s="7" t="str">
        <f aca="false">IF(D51="","",IF(N51&lt;&gt;"","Closed","Open"))</f>
        <v/>
      </c>
      <c r="T51" s="7"/>
    </row>
    <row r="52" customFormat="false" ht="15" hidden="false" customHeight="false" outlineLevel="0" collapsed="false">
      <c r="A52" s="7"/>
      <c r="B52" s="7"/>
      <c r="C52" s="7"/>
      <c r="D52" s="7"/>
      <c r="E52" s="7"/>
      <c r="F52" s="7"/>
      <c r="G52" s="8"/>
      <c r="H52" s="9"/>
      <c r="I52" s="9"/>
      <c r="J52" s="9"/>
      <c r="K52" s="7"/>
      <c r="L52" s="7"/>
      <c r="M52" s="9" t="str">
        <f aca="false">IF(AND(H52&lt;&gt;"",I52&lt;&gt;"",K52&lt;&gt;""),ABS(H52-I52)*K52,"")</f>
        <v/>
      </c>
      <c r="N52" s="9"/>
      <c r="O52" s="7"/>
      <c r="P52" s="9" t="str">
        <f aca="false">IF(N52&lt;&gt;"",(N52-H52)*K52*IF(E52="Buy",1,-1),"")</f>
        <v/>
      </c>
      <c r="Q52" s="10" t="str">
        <f aca="false">IF(AND(P52&lt;&gt;"",H52&lt;&gt;0,K52&lt;&gt;0),P52/(H52*K52),"")</f>
        <v/>
      </c>
      <c r="R52" s="11" t="str">
        <f aca="false">IF(AND(N52&lt;&gt;"",H52&lt;&gt;I52),IF(E52="Buy",(N52-H52)/(H52-I52),(H52-N52)/(I52-H52)),"")</f>
        <v/>
      </c>
      <c r="S52" s="7" t="str">
        <f aca="false">IF(D52="","",IF(N52&lt;&gt;"","Closed","Open"))</f>
        <v/>
      </c>
      <c r="T52" s="7"/>
    </row>
    <row r="53" customFormat="false" ht="15" hidden="false" customHeight="false" outlineLevel="0" collapsed="false">
      <c r="A53" s="7"/>
      <c r="B53" s="7"/>
      <c r="C53" s="7"/>
      <c r="D53" s="7"/>
      <c r="E53" s="7"/>
      <c r="F53" s="7"/>
      <c r="G53" s="8"/>
      <c r="H53" s="9"/>
      <c r="I53" s="9"/>
      <c r="J53" s="9"/>
      <c r="K53" s="7"/>
      <c r="L53" s="7"/>
      <c r="M53" s="9" t="str">
        <f aca="false">IF(AND(H53&lt;&gt;"",I53&lt;&gt;"",K53&lt;&gt;""),ABS(H53-I53)*K53,"")</f>
        <v/>
      </c>
      <c r="N53" s="9"/>
      <c r="O53" s="7"/>
      <c r="P53" s="9" t="str">
        <f aca="false">IF(N53&lt;&gt;"",(N53-H53)*K53*IF(E53="Buy",1,-1),"")</f>
        <v/>
      </c>
      <c r="Q53" s="10" t="str">
        <f aca="false">IF(AND(P53&lt;&gt;"",H53&lt;&gt;0,K53&lt;&gt;0),P53/(H53*K53),"")</f>
        <v/>
      </c>
      <c r="R53" s="11" t="str">
        <f aca="false">IF(AND(N53&lt;&gt;"",H53&lt;&gt;I53),IF(E53="Buy",(N53-H53)/(H53-I53),(H53-N53)/(I53-H53)),"")</f>
        <v/>
      </c>
      <c r="S53" s="7" t="str">
        <f aca="false">IF(D53="","",IF(N53&lt;&gt;"","Closed","Open"))</f>
        <v/>
      </c>
      <c r="T53" s="7"/>
    </row>
    <row r="54" customFormat="false" ht="15" hidden="false" customHeight="false" outlineLevel="0" collapsed="false">
      <c r="A54" s="7"/>
      <c r="B54" s="7"/>
      <c r="C54" s="7"/>
      <c r="D54" s="7"/>
      <c r="E54" s="7"/>
      <c r="F54" s="7"/>
      <c r="G54" s="8"/>
      <c r="H54" s="9"/>
      <c r="I54" s="9"/>
      <c r="J54" s="9"/>
      <c r="K54" s="7"/>
      <c r="L54" s="7"/>
      <c r="M54" s="9" t="str">
        <f aca="false">IF(AND(H54&lt;&gt;"",I54&lt;&gt;"",K54&lt;&gt;""),ABS(H54-I54)*K54,"")</f>
        <v/>
      </c>
      <c r="N54" s="9"/>
      <c r="O54" s="7"/>
      <c r="P54" s="9" t="str">
        <f aca="false">IF(N54&lt;&gt;"",(N54-H54)*K54*IF(E54="Buy",1,-1),"")</f>
        <v/>
      </c>
      <c r="Q54" s="10" t="str">
        <f aca="false">IF(AND(P54&lt;&gt;"",H54&lt;&gt;0,K54&lt;&gt;0),P54/(H54*K54),"")</f>
        <v/>
      </c>
      <c r="R54" s="11" t="str">
        <f aca="false">IF(AND(N54&lt;&gt;"",H54&lt;&gt;I54),IF(E54="Buy",(N54-H54)/(H54-I54),(H54-N54)/(I54-H54)),"")</f>
        <v/>
      </c>
      <c r="S54" s="7" t="str">
        <f aca="false">IF(D54="","",IF(N54&lt;&gt;"","Closed","Open"))</f>
        <v/>
      </c>
      <c r="T54" s="7"/>
    </row>
    <row r="55" customFormat="false" ht="15" hidden="false" customHeight="false" outlineLevel="0" collapsed="false">
      <c r="A55" s="7"/>
      <c r="B55" s="7"/>
      <c r="C55" s="7"/>
      <c r="D55" s="7"/>
      <c r="E55" s="7"/>
      <c r="F55" s="7"/>
      <c r="G55" s="8"/>
      <c r="H55" s="9"/>
      <c r="I55" s="9"/>
      <c r="J55" s="9"/>
      <c r="K55" s="7"/>
      <c r="L55" s="7"/>
      <c r="M55" s="9" t="str">
        <f aca="false">IF(AND(H55&lt;&gt;"",I55&lt;&gt;"",K55&lt;&gt;""),ABS(H55-I55)*K55,"")</f>
        <v/>
      </c>
      <c r="N55" s="9"/>
      <c r="O55" s="7"/>
      <c r="P55" s="9" t="str">
        <f aca="false">IF(N55&lt;&gt;"",(N55-H55)*K55*IF(E55="Buy",1,-1),"")</f>
        <v/>
      </c>
      <c r="Q55" s="10" t="str">
        <f aca="false">IF(AND(P55&lt;&gt;"",H55&lt;&gt;0,K55&lt;&gt;0),P55/(H55*K55),"")</f>
        <v/>
      </c>
      <c r="R55" s="11" t="str">
        <f aca="false">IF(AND(N55&lt;&gt;"",H55&lt;&gt;I55),IF(E55="Buy",(N55-H55)/(H55-I55),(H55-N55)/(I55-H55)),"")</f>
        <v/>
      </c>
      <c r="S55" s="7" t="str">
        <f aca="false">IF(D55="","",IF(N55&lt;&gt;"","Closed","Open"))</f>
        <v/>
      </c>
      <c r="T55" s="7"/>
    </row>
    <row r="56" customFormat="false" ht="15" hidden="false" customHeight="false" outlineLevel="0" collapsed="false">
      <c r="A56" s="7"/>
      <c r="B56" s="7"/>
      <c r="C56" s="7"/>
      <c r="D56" s="7"/>
      <c r="E56" s="7"/>
      <c r="F56" s="7"/>
      <c r="G56" s="8"/>
      <c r="H56" s="9"/>
      <c r="I56" s="9"/>
      <c r="J56" s="9"/>
      <c r="K56" s="7"/>
      <c r="L56" s="7"/>
      <c r="M56" s="9" t="str">
        <f aca="false">IF(AND(H56&lt;&gt;"",I56&lt;&gt;"",K56&lt;&gt;""),ABS(H56-I56)*K56,"")</f>
        <v/>
      </c>
      <c r="N56" s="9"/>
      <c r="O56" s="7"/>
      <c r="P56" s="9" t="str">
        <f aca="false">IF(N56&lt;&gt;"",(N56-H56)*K56*IF(E56="Buy",1,-1),"")</f>
        <v/>
      </c>
      <c r="Q56" s="10" t="str">
        <f aca="false">IF(AND(P56&lt;&gt;"",H56&lt;&gt;0,K56&lt;&gt;0),P56/(H56*K56),"")</f>
        <v/>
      </c>
      <c r="R56" s="11" t="str">
        <f aca="false">IF(AND(N56&lt;&gt;"",H56&lt;&gt;I56),IF(E56="Buy",(N56-H56)/(H56-I56),(H56-N56)/(I56-H56)),"")</f>
        <v/>
      </c>
      <c r="S56" s="7" t="str">
        <f aca="false">IF(D56="","",IF(N56&lt;&gt;"","Closed","Open"))</f>
        <v/>
      </c>
      <c r="T56" s="7"/>
    </row>
    <row r="57" customFormat="false" ht="15" hidden="false" customHeight="false" outlineLevel="0" collapsed="false">
      <c r="A57" s="7"/>
      <c r="B57" s="7"/>
      <c r="C57" s="7"/>
      <c r="D57" s="7"/>
      <c r="E57" s="7"/>
      <c r="F57" s="7"/>
      <c r="G57" s="8"/>
      <c r="H57" s="9"/>
      <c r="I57" s="9"/>
      <c r="J57" s="9"/>
      <c r="K57" s="7"/>
      <c r="L57" s="7"/>
      <c r="M57" s="9" t="str">
        <f aca="false">IF(AND(H57&lt;&gt;"",I57&lt;&gt;"",K57&lt;&gt;""),ABS(H57-I57)*K57,"")</f>
        <v/>
      </c>
      <c r="N57" s="9"/>
      <c r="O57" s="7"/>
      <c r="P57" s="9" t="str">
        <f aca="false">IF(N57&lt;&gt;"",(N57-H57)*K57*IF(E57="Buy",1,-1),"")</f>
        <v/>
      </c>
      <c r="Q57" s="10" t="str">
        <f aca="false">IF(AND(P57&lt;&gt;"",H57&lt;&gt;0,K57&lt;&gt;0),P57/(H57*K57),"")</f>
        <v/>
      </c>
      <c r="R57" s="11" t="str">
        <f aca="false">IF(AND(N57&lt;&gt;"",H57&lt;&gt;I57),IF(E57="Buy",(N57-H57)/(H57-I57),(H57-N57)/(I57-H57)),"")</f>
        <v/>
      </c>
      <c r="S57" s="7" t="str">
        <f aca="false">IF(D57="","",IF(N57&lt;&gt;"","Closed","Open"))</f>
        <v/>
      </c>
      <c r="T57" s="7"/>
    </row>
    <row r="58" customFormat="false" ht="15" hidden="false" customHeight="false" outlineLevel="0" collapsed="false">
      <c r="A58" s="7"/>
      <c r="B58" s="7"/>
      <c r="C58" s="7"/>
      <c r="D58" s="7"/>
      <c r="E58" s="7"/>
      <c r="F58" s="7"/>
      <c r="G58" s="8"/>
      <c r="H58" s="9"/>
      <c r="I58" s="9"/>
      <c r="J58" s="9"/>
      <c r="K58" s="7"/>
      <c r="L58" s="7"/>
      <c r="M58" s="9" t="str">
        <f aca="false">IF(AND(H58&lt;&gt;"",I58&lt;&gt;"",K58&lt;&gt;""),ABS(H58-I58)*K58,"")</f>
        <v/>
      </c>
      <c r="N58" s="9"/>
      <c r="O58" s="7"/>
      <c r="P58" s="9" t="str">
        <f aca="false">IF(N58&lt;&gt;"",(N58-H58)*K58*IF(E58="Buy",1,-1),"")</f>
        <v/>
      </c>
      <c r="Q58" s="10" t="str">
        <f aca="false">IF(AND(P58&lt;&gt;"",H58&lt;&gt;0,K58&lt;&gt;0),P58/(H58*K58),"")</f>
        <v/>
      </c>
      <c r="R58" s="11" t="str">
        <f aca="false">IF(AND(N58&lt;&gt;"",H58&lt;&gt;I58),IF(E58="Buy",(N58-H58)/(H58-I58),(H58-N58)/(I58-H58)),"")</f>
        <v/>
      </c>
      <c r="S58" s="7" t="str">
        <f aca="false">IF(D58="","",IF(N58&lt;&gt;"","Closed","Open"))</f>
        <v/>
      </c>
      <c r="T58" s="7"/>
    </row>
    <row r="59" customFormat="false" ht="15" hidden="false" customHeight="false" outlineLevel="0" collapsed="false">
      <c r="A59" s="7"/>
      <c r="B59" s="7"/>
      <c r="C59" s="7"/>
      <c r="D59" s="7"/>
      <c r="E59" s="7"/>
      <c r="F59" s="7"/>
      <c r="G59" s="8"/>
      <c r="H59" s="9"/>
      <c r="I59" s="9"/>
      <c r="J59" s="9"/>
      <c r="K59" s="7"/>
      <c r="L59" s="7"/>
      <c r="M59" s="9" t="str">
        <f aca="false">IF(AND(H59&lt;&gt;"",I59&lt;&gt;"",K59&lt;&gt;""),ABS(H59-I59)*K59,"")</f>
        <v/>
      </c>
      <c r="N59" s="9"/>
      <c r="O59" s="7"/>
      <c r="P59" s="9" t="str">
        <f aca="false">IF(N59&lt;&gt;"",(N59-H59)*K59*IF(E59="Buy",1,-1),"")</f>
        <v/>
      </c>
      <c r="Q59" s="10" t="str">
        <f aca="false">IF(AND(P59&lt;&gt;"",H59&lt;&gt;0,K59&lt;&gt;0),P59/(H59*K59),"")</f>
        <v/>
      </c>
      <c r="R59" s="11" t="str">
        <f aca="false">IF(AND(N59&lt;&gt;"",H59&lt;&gt;I59),IF(E59="Buy",(N59-H59)/(H59-I59),(H59-N59)/(I59-H59)),"")</f>
        <v/>
      </c>
      <c r="S59" s="7" t="str">
        <f aca="false">IF(D59="","",IF(N59&lt;&gt;"","Closed","Open"))</f>
        <v/>
      </c>
      <c r="T59" s="7"/>
    </row>
    <row r="60" customFormat="false" ht="15" hidden="false" customHeight="false" outlineLevel="0" collapsed="false">
      <c r="A60" s="7"/>
      <c r="B60" s="7"/>
      <c r="C60" s="7"/>
      <c r="D60" s="7"/>
      <c r="E60" s="7"/>
      <c r="F60" s="7"/>
      <c r="G60" s="8"/>
      <c r="H60" s="9"/>
      <c r="I60" s="9"/>
      <c r="J60" s="9"/>
      <c r="K60" s="7"/>
      <c r="L60" s="7"/>
      <c r="M60" s="9" t="str">
        <f aca="false">IF(AND(H60&lt;&gt;"",I60&lt;&gt;"",K60&lt;&gt;""),ABS(H60-I60)*K60,"")</f>
        <v/>
      </c>
      <c r="N60" s="9"/>
      <c r="O60" s="7"/>
      <c r="P60" s="9" t="str">
        <f aca="false">IF(N60&lt;&gt;"",(N60-H60)*K60*IF(E60="Buy",1,-1),"")</f>
        <v/>
      </c>
      <c r="Q60" s="10" t="str">
        <f aca="false">IF(AND(P60&lt;&gt;"",H60&lt;&gt;0,K60&lt;&gt;0),P60/(H60*K60),"")</f>
        <v/>
      </c>
      <c r="R60" s="11" t="str">
        <f aca="false">IF(AND(N60&lt;&gt;"",H60&lt;&gt;I60),IF(E60="Buy",(N60-H60)/(H60-I60),(H60-N60)/(I60-H60)),"")</f>
        <v/>
      </c>
      <c r="S60" s="7" t="str">
        <f aca="false">IF(D60="","",IF(N60&lt;&gt;"","Closed","Open"))</f>
        <v/>
      </c>
      <c r="T60" s="7"/>
    </row>
    <row r="61" customFormat="false" ht="15" hidden="false" customHeight="false" outlineLevel="0" collapsed="false">
      <c r="A61" s="7"/>
      <c r="B61" s="7"/>
      <c r="C61" s="7"/>
      <c r="D61" s="7"/>
      <c r="E61" s="7"/>
      <c r="F61" s="7"/>
      <c r="G61" s="8"/>
      <c r="H61" s="9"/>
      <c r="I61" s="9"/>
      <c r="J61" s="9"/>
      <c r="K61" s="7"/>
      <c r="L61" s="7"/>
      <c r="M61" s="9" t="str">
        <f aca="false">IF(AND(H61&lt;&gt;"",I61&lt;&gt;"",K61&lt;&gt;""),ABS(H61-I61)*K61,"")</f>
        <v/>
      </c>
      <c r="N61" s="9"/>
      <c r="O61" s="7"/>
      <c r="P61" s="9" t="str">
        <f aca="false">IF(N61&lt;&gt;"",(N61-H61)*K61*IF(E61="Buy",1,-1),"")</f>
        <v/>
      </c>
      <c r="Q61" s="10" t="str">
        <f aca="false">IF(AND(P61&lt;&gt;"",H61&lt;&gt;0,K61&lt;&gt;0),P61/(H61*K61),"")</f>
        <v/>
      </c>
      <c r="R61" s="11" t="str">
        <f aca="false">IF(AND(N61&lt;&gt;"",H61&lt;&gt;I61),IF(E61="Buy",(N61-H61)/(H61-I61),(H61-N61)/(I61-H61)),"")</f>
        <v/>
      </c>
      <c r="S61" s="7" t="str">
        <f aca="false">IF(D61="","",IF(N61&lt;&gt;"","Closed","Open"))</f>
        <v/>
      </c>
      <c r="T61" s="7"/>
    </row>
    <row r="62" customFormat="false" ht="15" hidden="false" customHeight="false" outlineLevel="0" collapsed="false">
      <c r="A62" s="7"/>
      <c r="B62" s="7"/>
      <c r="C62" s="7"/>
      <c r="D62" s="7"/>
      <c r="E62" s="7"/>
      <c r="F62" s="7"/>
      <c r="G62" s="8"/>
      <c r="H62" s="9"/>
      <c r="I62" s="9"/>
      <c r="J62" s="9"/>
      <c r="K62" s="7"/>
      <c r="L62" s="7"/>
      <c r="M62" s="9" t="str">
        <f aca="false">IF(AND(H62&lt;&gt;"",I62&lt;&gt;"",K62&lt;&gt;""),ABS(H62-I62)*K62,"")</f>
        <v/>
      </c>
      <c r="N62" s="9"/>
      <c r="O62" s="7"/>
      <c r="P62" s="9" t="str">
        <f aca="false">IF(N62&lt;&gt;"",(N62-H62)*K62*IF(E62="Buy",1,-1),"")</f>
        <v/>
      </c>
      <c r="Q62" s="10" t="str">
        <f aca="false">IF(AND(P62&lt;&gt;"",H62&lt;&gt;0,K62&lt;&gt;0),P62/(H62*K62),"")</f>
        <v/>
      </c>
      <c r="R62" s="11" t="str">
        <f aca="false">IF(AND(N62&lt;&gt;"",H62&lt;&gt;I62),IF(E62="Buy",(N62-H62)/(H62-I62),(H62-N62)/(I62-H62)),"")</f>
        <v/>
      </c>
      <c r="S62" s="7" t="str">
        <f aca="false">IF(D62="","",IF(N62&lt;&gt;"","Closed","Open"))</f>
        <v/>
      </c>
      <c r="T62" s="7"/>
    </row>
    <row r="63" customFormat="false" ht="15" hidden="false" customHeight="false" outlineLevel="0" collapsed="false">
      <c r="A63" s="7"/>
      <c r="B63" s="7"/>
      <c r="C63" s="7"/>
      <c r="D63" s="7"/>
      <c r="E63" s="7"/>
      <c r="F63" s="7"/>
      <c r="G63" s="8"/>
      <c r="H63" s="9"/>
      <c r="I63" s="9"/>
      <c r="J63" s="9"/>
      <c r="K63" s="7"/>
      <c r="L63" s="7"/>
      <c r="M63" s="9" t="str">
        <f aca="false">IF(AND(H63&lt;&gt;"",I63&lt;&gt;"",K63&lt;&gt;""),ABS(H63-I63)*K63,"")</f>
        <v/>
      </c>
      <c r="N63" s="9"/>
      <c r="O63" s="7"/>
      <c r="P63" s="9" t="str">
        <f aca="false">IF(N63&lt;&gt;"",(N63-H63)*K63*IF(E63="Buy",1,-1),"")</f>
        <v/>
      </c>
      <c r="Q63" s="10" t="str">
        <f aca="false">IF(AND(P63&lt;&gt;"",H63&lt;&gt;0,K63&lt;&gt;0),P63/(H63*K63),"")</f>
        <v/>
      </c>
      <c r="R63" s="11" t="str">
        <f aca="false">IF(AND(N63&lt;&gt;"",H63&lt;&gt;I63),IF(E63="Buy",(N63-H63)/(H63-I63),(H63-N63)/(I63-H63)),"")</f>
        <v/>
      </c>
      <c r="S63" s="7" t="str">
        <f aca="false">IF(D63="","",IF(N63&lt;&gt;"","Closed","Open"))</f>
        <v/>
      </c>
      <c r="T63" s="7"/>
    </row>
    <row r="64" customFormat="false" ht="15" hidden="false" customHeight="false" outlineLevel="0" collapsed="false">
      <c r="A64" s="7"/>
      <c r="B64" s="7"/>
      <c r="C64" s="7"/>
      <c r="D64" s="7"/>
      <c r="E64" s="7"/>
      <c r="F64" s="7"/>
      <c r="G64" s="8"/>
      <c r="H64" s="9"/>
      <c r="I64" s="9"/>
      <c r="J64" s="9"/>
      <c r="K64" s="7"/>
      <c r="L64" s="7"/>
      <c r="M64" s="9" t="str">
        <f aca="false">IF(AND(H64&lt;&gt;"",I64&lt;&gt;"",K64&lt;&gt;""),ABS(H64-I64)*K64,"")</f>
        <v/>
      </c>
      <c r="N64" s="9"/>
      <c r="O64" s="7"/>
      <c r="P64" s="9" t="str">
        <f aca="false">IF(N64&lt;&gt;"",(N64-H64)*K64*IF(E64="Buy",1,-1),"")</f>
        <v/>
      </c>
      <c r="Q64" s="10" t="str">
        <f aca="false">IF(AND(P64&lt;&gt;"",H64&lt;&gt;0,K64&lt;&gt;0),P64/(H64*K64),"")</f>
        <v/>
      </c>
      <c r="R64" s="11" t="str">
        <f aca="false">IF(AND(N64&lt;&gt;"",H64&lt;&gt;I64),IF(E64="Buy",(N64-H64)/(H64-I64),(H64-N64)/(I64-H64)),"")</f>
        <v/>
      </c>
      <c r="S64" s="7" t="str">
        <f aca="false">IF(D64="","",IF(N64&lt;&gt;"","Closed","Open"))</f>
        <v/>
      </c>
      <c r="T64" s="7"/>
    </row>
    <row r="65" customFormat="false" ht="15" hidden="false" customHeight="false" outlineLevel="0" collapsed="false">
      <c r="A65" s="7"/>
      <c r="B65" s="7"/>
      <c r="C65" s="7"/>
      <c r="D65" s="7"/>
      <c r="E65" s="7"/>
      <c r="F65" s="7"/>
      <c r="G65" s="8"/>
      <c r="H65" s="9"/>
      <c r="I65" s="9"/>
      <c r="J65" s="9"/>
      <c r="K65" s="7"/>
      <c r="L65" s="7"/>
      <c r="M65" s="9" t="str">
        <f aca="false">IF(AND(H65&lt;&gt;"",I65&lt;&gt;"",K65&lt;&gt;""),ABS(H65-I65)*K65,"")</f>
        <v/>
      </c>
      <c r="N65" s="9"/>
      <c r="O65" s="7"/>
      <c r="P65" s="9" t="str">
        <f aca="false">IF(N65&lt;&gt;"",(N65-H65)*K65*IF(E65="Buy",1,-1),"")</f>
        <v/>
      </c>
      <c r="Q65" s="10" t="str">
        <f aca="false">IF(AND(P65&lt;&gt;"",H65&lt;&gt;0,K65&lt;&gt;0),P65/(H65*K65),"")</f>
        <v/>
      </c>
      <c r="R65" s="11" t="str">
        <f aca="false">IF(AND(N65&lt;&gt;"",H65&lt;&gt;I65),IF(E65="Buy",(N65-H65)/(H65-I65),(H65-N65)/(I65-H65)),"")</f>
        <v/>
      </c>
      <c r="S65" s="7" t="str">
        <f aca="false">IF(D65="","",IF(N65&lt;&gt;"","Closed","Open"))</f>
        <v/>
      </c>
      <c r="T65" s="7"/>
    </row>
    <row r="66" customFormat="false" ht="15" hidden="false" customHeight="false" outlineLevel="0" collapsed="false">
      <c r="A66" s="7"/>
      <c r="B66" s="7"/>
      <c r="C66" s="7"/>
      <c r="D66" s="7"/>
      <c r="E66" s="7"/>
      <c r="F66" s="7"/>
      <c r="G66" s="8"/>
      <c r="H66" s="9"/>
      <c r="I66" s="9"/>
      <c r="J66" s="9"/>
      <c r="K66" s="7"/>
      <c r="L66" s="7"/>
      <c r="M66" s="9" t="str">
        <f aca="false">IF(AND(H66&lt;&gt;"",I66&lt;&gt;"",K66&lt;&gt;""),ABS(H66-I66)*K66,"")</f>
        <v/>
      </c>
      <c r="N66" s="9"/>
      <c r="O66" s="7"/>
      <c r="P66" s="9" t="str">
        <f aca="false">IF(N66&lt;&gt;"",(N66-H66)*K66*IF(E66="Buy",1,-1),"")</f>
        <v/>
      </c>
      <c r="Q66" s="10" t="str">
        <f aca="false">IF(AND(P66&lt;&gt;"",H66&lt;&gt;0,K66&lt;&gt;0),P66/(H66*K66),"")</f>
        <v/>
      </c>
      <c r="R66" s="11" t="str">
        <f aca="false">IF(AND(N66&lt;&gt;"",H66&lt;&gt;I66),IF(E66="Buy",(N66-H66)/(H66-I66),(H66-N66)/(I66-H66)),"")</f>
        <v/>
      </c>
      <c r="S66" s="7" t="str">
        <f aca="false">IF(D66="","",IF(N66&lt;&gt;"","Closed","Open"))</f>
        <v/>
      </c>
      <c r="T66" s="7"/>
    </row>
    <row r="67" customFormat="false" ht="15" hidden="false" customHeight="false" outlineLevel="0" collapsed="false">
      <c r="A67" s="7"/>
      <c r="B67" s="7"/>
      <c r="C67" s="7"/>
      <c r="D67" s="7"/>
      <c r="E67" s="7"/>
      <c r="F67" s="7"/>
      <c r="G67" s="8"/>
      <c r="H67" s="9"/>
      <c r="I67" s="9"/>
      <c r="J67" s="9"/>
      <c r="K67" s="7"/>
      <c r="L67" s="7"/>
      <c r="M67" s="9" t="str">
        <f aca="false">IF(AND(H67&lt;&gt;"",I67&lt;&gt;"",K67&lt;&gt;""),ABS(H67-I67)*K67,"")</f>
        <v/>
      </c>
      <c r="N67" s="9"/>
      <c r="O67" s="7"/>
      <c r="P67" s="9" t="str">
        <f aca="false">IF(N67&lt;&gt;"",(N67-H67)*K67*IF(E67="Buy",1,-1),"")</f>
        <v/>
      </c>
      <c r="Q67" s="10" t="str">
        <f aca="false">IF(AND(P67&lt;&gt;"",H67&lt;&gt;0,K67&lt;&gt;0),P67/(H67*K67),"")</f>
        <v/>
      </c>
      <c r="R67" s="11" t="str">
        <f aca="false">IF(AND(N67&lt;&gt;"",H67&lt;&gt;I67),IF(E67="Buy",(N67-H67)/(H67-I67),(H67-N67)/(I67-H67)),"")</f>
        <v/>
      </c>
      <c r="S67" s="7" t="str">
        <f aca="false">IF(D67="","",IF(N67&lt;&gt;"","Closed","Open"))</f>
        <v/>
      </c>
      <c r="T67" s="7"/>
    </row>
    <row r="68" customFormat="false" ht="15" hidden="false" customHeight="false" outlineLevel="0" collapsed="false">
      <c r="A68" s="7"/>
      <c r="B68" s="7"/>
      <c r="C68" s="7"/>
      <c r="D68" s="7"/>
      <c r="E68" s="7"/>
      <c r="F68" s="7"/>
      <c r="G68" s="8"/>
      <c r="H68" s="9"/>
      <c r="I68" s="9"/>
      <c r="J68" s="9"/>
      <c r="K68" s="7"/>
      <c r="L68" s="7"/>
      <c r="M68" s="9" t="str">
        <f aca="false">IF(AND(H68&lt;&gt;"",I68&lt;&gt;"",K68&lt;&gt;""),ABS(H68-I68)*K68,"")</f>
        <v/>
      </c>
      <c r="N68" s="9"/>
      <c r="O68" s="7"/>
      <c r="P68" s="9" t="str">
        <f aca="false">IF(N68&lt;&gt;"",(N68-H68)*K68*IF(E68="Buy",1,-1),"")</f>
        <v/>
      </c>
      <c r="Q68" s="10" t="str">
        <f aca="false">IF(AND(P68&lt;&gt;"",H68&lt;&gt;0,K68&lt;&gt;0),P68/(H68*K68),"")</f>
        <v/>
      </c>
      <c r="R68" s="11" t="str">
        <f aca="false">IF(AND(N68&lt;&gt;"",H68&lt;&gt;I68),IF(E68="Buy",(N68-H68)/(H68-I68),(H68-N68)/(I68-H68)),"")</f>
        <v/>
      </c>
      <c r="S68" s="7" t="str">
        <f aca="false">IF(D68="","",IF(N68&lt;&gt;"","Closed","Open"))</f>
        <v/>
      </c>
      <c r="T68" s="7"/>
    </row>
    <row r="69" customFormat="false" ht="15" hidden="false" customHeight="false" outlineLevel="0" collapsed="false">
      <c r="A69" s="7"/>
      <c r="B69" s="7"/>
      <c r="C69" s="7"/>
      <c r="D69" s="7"/>
      <c r="E69" s="7"/>
      <c r="F69" s="7"/>
      <c r="G69" s="8"/>
      <c r="H69" s="9"/>
      <c r="I69" s="9"/>
      <c r="J69" s="9"/>
      <c r="K69" s="7"/>
      <c r="L69" s="7"/>
      <c r="M69" s="9" t="str">
        <f aca="false">IF(AND(H69&lt;&gt;"",I69&lt;&gt;"",K69&lt;&gt;""),ABS(H69-I69)*K69,"")</f>
        <v/>
      </c>
      <c r="N69" s="9"/>
      <c r="O69" s="7"/>
      <c r="P69" s="9" t="str">
        <f aca="false">IF(N69&lt;&gt;"",(N69-H69)*K69*IF(E69="Buy",1,-1),"")</f>
        <v/>
      </c>
      <c r="Q69" s="10" t="str">
        <f aca="false">IF(AND(P69&lt;&gt;"",H69&lt;&gt;0,K69&lt;&gt;0),P69/(H69*K69),"")</f>
        <v/>
      </c>
      <c r="R69" s="11" t="str">
        <f aca="false">IF(AND(N69&lt;&gt;"",H69&lt;&gt;I69),IF(E69="Buy",(N69-H69)/(H69-I69),(H69-N69)/(I69-H69)),"")</f>
        <v/>
      </c>
      <c r="S69" s="7" t="str">
        <f aca="false">IF(D69="","",IF(N69&lt;&gt;"","Closed","Open"))</f>
        <v/>
      </c>
      <c r="T69" s="7"/>
    </row>
    <row r="70" customFormat="false" ht="15" hidden="false" customHeight="false" outlineLevel="0" collapsed="false">
      <c r="A70" s="7"/>
      <c r="B70" s="7"/>
      <c r="C70" s="7"/>
      <c r="D70" s="7"/>
      <c r="E70" s="7"/>
      <c r="F70" s="7"/>
      <c r="G70" s="8"/>
      <c r="H70" s="9"/>
      <c r="I70" s="9"/>
      <c r="J70" s="9"/>
      <c r="K70" s="7"/>
      <c r="L70" s="7"/>
      <c r="M70" s="9" t="str">
        <f aca="false">IF(AND(H70&lt;&gt;"",I70&lt;&gt;"",K70&lt;&gt;""),ABS(H70-I70)*K70,"")</f>
        <v/>
      </c>
      <c r="N70" s="9"/>
      <c r="O70" s="7"/>
      <c r="P70" s="9" t="str">
        <f aca="false">IF(N70&lt;&gt;"",(N70-H70)*K70*IF(E70="Buy",1,-1),"")</f>
        <v/>
      </c>
      <c r="Q70" s="10" t="str">
        <f aca="false">IF(AND(P70&lt;&gt;"",H70&lt;&gt;0,K70&lt;&gt;0),P70/(H70*K70),"")</f>
        <v/>
      </c>
      <c r="R70" s="11" t="str">
        <f aca="false">IF(AND(N70&lt;&gt;"",H70&lt;&gt;I70),IF(E70="Buy",(N70-H70)/(H70-I70),(H70-N70)/(I70-H70)),"")</f>
        <v/>
      </c>
      <c r="S70" s="7" t="str">
        <f aca="false">IF(D70="","",IF(N70&lt;&gt;"","Closed","Open"))</f>
        <v/>
      </c>
      <c r="T70" s="7"/>
    </row>
    <row r="71" customFormat="false" ht="15" hidden="false" customHeight="false" outlineLevel="0" collapsed="false">
      <c r="A71" s="7"/>
      <c r="B71" s="7"/>
      <c r="C71" s="7"/>
      <c r="D71" s="7"/>
      <c r="E71" s="7"/>
      <c r="F71" s="7"/>
      <c r="G71" s="8"/>
      <c r="H71" s="9"/>
      <c r="I71" s="9"/>
      <c r="J71" s="9"/>
      <c r="K71" s="7"/>
      <c r="L71" s="7"/>
      <c r="M71" s="9" t="str">
        <f aca="false">IF(AND(H71&lt;&gt;"",I71&lt;&gt;"",K71&lt;&gt;""),ABS(H71-I71)*K71,"")</f>
        <v/>
      </c>
      <c r="N71" s="9"/>
      <c r="O71" s="7"/>
      <c r="P71" s="9" t="str">
        <f aca="false">IF(N71&lt;&gt;"",(N71-H71)*K71*IF(E71="Buy",1,-1),"")</f>
        <v/>
      </c>
      <c r="Q71" s="10" t="str">
        <f aca="false">IF(AND(P71&lt;&gt;"",H71&lt;&gt;0,K71&lt;&gt;0),P71/(H71*K71),"")</f>
        <v/>
      </c>
      <c r="R71" s="11" t="str">
        <f aca="false">IF(AND(N71&lt;&gt;"",H71&lt;&gt;I71),IF(E71="Buy",(N71-H71)/(H71-I71),(H71-N71)/(I71-H71)),"")</f>
        <v/>
      </c>
      <c r="S71" s="7" t="str">
        <f aca="false">IF(D71="","",IF(N71&lt;&gt;"","Closed","Open"))</f>
        <v/>
      </c>
      <c r="T71" s="7"/>
    </row>
    <row r="72" customFormat="false" ht="15" hidden="false" customHeight="false" outlineLevel="0" collapsed="false">
      <c r="A72" s="7"/>
      <c r="B72" s="7"/>
      <c r="C72" s="7"/>
      <c r="D72" s="7"/>
      <c r="E72" s="7"/>
      <c r="F72" s="7"/>
      <c r="G72" s="8"/>
      <c r="H72" s="9"/>
      <c r="I72" s="9"/>
      <c r="J72" s="9"/>
      <c r="K72" s="7"/>
      <c r="L72" s="7"/>
      <c r="M72" s="9" t="str">
        <f aca="false">IF(AND(H72&lt;&gt;"",I72&lt;&gt;"",K72&lt;&gt;""),ABS(H72-I72)*K72,"")</f>
        <v/>
      </c>
      <c r="N72" s="9"/>
      <c r="O72" s="7"/>
      <c r="P72" s="9" t="str">
        <f aca="false">IF(N72&lt;&gt;"",(N72-H72)*K72*IF(E72="Buy",1,-1),"")</f>
        <v/>
      </c>
      <c r="Q72" s="10" t="str">
        <f aca="false">IF(AND(P72&lt;&gt;"",H72&lt;&gt;0,K72&lt;&gt;0),P72/(H72*K72),"")</f>
        <v/>
      </c>
      <c r="R72" s="11" t="str">
        <f aca="false">IF(AND(N72&lt;&gt;"",H72&lt;&gt;I72),IF(E72="Buy",(N72-H72)/(H72-I72),(H72-N72)/(I72-H72)),"")</f>
        <v/>
      </c>
      <c r="S72" s="7" t="str">
        <f aca="false">IF(D72="","",IF(N72&lt;&gt;"","Closed","Open"))</f>
        <v/>
      </c>
      <c r="T72" s="7"/>
    </row>
    <row r="73" customFormat="false" ht="15" hidden="false" customHeight="false" outlineLevel="0" collapsed="false">
      <c r="A73" s="7"/>
      <c r="B73" s="7"/>
      <c r="C73" s="7"/>
      <c r="D73" s="7"/>
      <c r="E73" s="7"/>
      <c r="F73" s="7"/>
      <c r="G73" s="8"/>
      <c r="H73" s="9"/>
      <c r="I73" s="9"/>
      <c r="J73" s="9"/>
      <c r="K73" s="7"/>
      <c r="L73" s="7"/>
      <c r="M73" s="9" t="str">
        <f aca="false">IF(AND(H73&lt;&gt;"",I73&lt;&gt;"",K73&lt;&gt;""),ABS(H73-I73)*K73,"")</f>
        <v/>
      </c>
      <c r="N73" s="9"/>
      <c r="O73" s="7"/>
      <c r="P73" s="9" t="str">
        <f aca="false">IF(N73&lt;&gt;"",(N73-H73)*K73*IF(E73="Buy",1,-1),"")</f>
        <v/>
      </c>
      <c r="Q73" s="10" t="str">
        <f aca="false">IF(AND(P73&lt;&gt;"",H73&lt;&gt;0,K73&lt;&gt;0),P73/(H73*K73),"")</f>
        <v/>
      </c>
      <c r="R73" s="11" t="str">
        <f aca="false">IF(AND(N73&lt;&gt;"",H73&lt;&gt;I73),IF(E73="Buy",(N73-H73)/(H73-I73),(H73-N73)/(I73-H73)),"")</f>
        <v/>
      </c>
      <c r="S73" s="7" t="str">
        <f aca="false">IF(D73="","",IF(N73&lt;&gt;"","Closed","Open"))</f>
        <v/>
      </c>
      <c r="T73" s="7"/>
    </row>
    <row r="74" customFormat="false" ht="15" hidden="false" customHeight="false" outlineLevel="0" collapsed="false">
      <c r="A74" s="7"/>
      <c r="B74" s="7"/>
      <c r="C74" s="7"/>
      <c r="D74" s="7"/>
      <c r="E74" s="7"/>
      <c r="F74" s="7"/>
      <c r="G74" s="8"/>
      <c r="H74" s="9"/>
      <c r="I74" s="9"/>
      <c r="J74" s="9"/>
      <c r="K74" s="7"/>
      <c r="L74" s="7"/>
      <c r="M74" s="9" t="str">
        <f aca="false">IF(AND(H74&lt;&gt;"",I74&lt;&gt;"",K74&lt;&gt;""),ABS(H74-I74)*K74,"")</f>
        <v/>
      </c>
      <c r="N74" s="9"/>
      <c r="O74" s="7"/>
      <c r="P74" s="9" t="str">
        <f aca="false">IF(N74&lt;&gt;"",(N74-H74)*K74*IF(E74="Buy",1,-1),"")</f>
        <v/>
      </c>
      <c r="Q74" s="10" t="str">
        <f aca="false">IF(AND(P74&lt;&gt;"",H74&lt;&gt;0,K74&lt;&gt;0),P74/(H74*K74),"")</f>
        <v/>
      </c>
      <c r="R74" s="11" t="str">
        <f aca="false">IF(AND(N74&lt;&gt;"",H74&lt;&gt;I74),IF(E74="Buy",(N74-H74)/(H74-I74),(H74-N74)/(I74-H74)),"")</f>
        <v/>
      </c>
      <c r="S74" s="7" t="str">
        <f aca="false">IF(D74="","",IF(N74&lt;&gt;"","Closed","Open"))</f>
        <v/>
      </c>
      <c r="T74" s="7"/>
    </row>
    <row r="75" customFormat="false" ht="15" hidden="false" customHeight="false" outlineLevel="0" collapsed="false">
      <c r="A75" s="7"/>
      <c r="B75" s="7"/>
      <c r="C75" s="7"/>
      <c r="D75" s="7"/>
      <c r="E75" s="7"/>
      <c r="F75" s="7"/>
      <c r="G75" s="8"/>
      <c r="H75" s="9"/>
      <c r="I75" s="9"/>
      <c r="J75" s="9"/>
      <c r="K75" s="7"/>
      <c r="L75" s="7"/>
      <c r="M75" s="9" t="str">
        <f aca="false">IF(AND(H75&lt;&gt;"",I75&lt;&gt;"",K75&lt;&gt;""),ABS(H75-I75)*K75,"")</f>
        <v/>
      </c>
      <c r="N75" s="9"/>
      <c r="O75" s="7"/>
      <c r="P75" s="9" t="str">
        <f aca="false">IF(N75&lt;&gt;"",(N75-H75)*K75*IF(E75="Buy",1,-1),"")</f>
        <v/>
      </c>
      <c r="Q75" s="10" t="str">
        <f aca="false">IF(AND(P75&lt;&gt;"",H75&lt;&gt;0,K75&lt;&gt;0),P75/(H75*K75),"")</f>
        <v/>
      </c>
      <c r="R75" s="11" t="str">
        <f aca="false">IF(AND(N75&lt;&gt;"",H75&lt;&gt;I75),IF(E75="Buy",(N75-H75)/(H75-I75),(H75-N75)/(I75-H75)),"")</f>
        <v/>
      </c>
      <c r="S75" s="7" t="str">
        <f aca="false">IF(D75="","",IF(N75&lt;&gt;"","Closed","Open"))</f>
        <v/>
      </c>
      <c r="T75" s="7"/>
    </row>
    <row r="76" customFormat="false" ht="15" hidden="false" customHeight="false" outlineLevel="0" collapsed="false">
      <c r="A76" s="7"/>
      <c r="B76" s="7"/>
      <c r="C76" s="7"/>
      <c r="D76" s="7"/>
      <c r="E76" s="7"/>
      <c r="F76" s="7"/>
      <c r="G76" s="8"/>
      <c r="H76" s="9"/>
      <c r="I76" s="9"/>
      <c r="J76" s="9"/>
      <c r="K76" s="7"/>
      <c r="L76" s="7"/>
      <c r="M76" s="9" t="str">
        <f aca="false">IF(AND(H76&lt;&gt;"",I76&lt;&gt;"",K76&lt;&gt;""),ABS(H76-I76)*K76,"")</f>
        <v/>
      </c>
      <c r="N76" s="9"/>
      <c r="O76" s="7"/>
      <c r="P76" s="9" t="str">
        <f aca="false">IF(N76&lt;&gt;"",(N76-H76)*K76*IF(E76="Buy",1,-1),"")</f>
        <v/>
      </c>
      <c r="Q76" s="10" t="str">
        <f aca="false">IF(AND(P76&lt;&gt;"",H76&lt;&gt;0,K76&lt;&gt;0),P76/(H76*K76),"")</f>
        <v/>
      </c>
      <c r="R76" s="11" t="str">
        <f aca="false">IF(AND(N76&lt;&gt;"",H76&lt;&gt;I76),IF(E76="Buy",(N76-H76)/(H76-I76),(H76-N76)/(I76-H76)),"")</f>
        <v/>
      </c>
      <c r="S76" s="7" t="str">
        <f aca="false">IF(D76="","",IF(N76&lt;&gt;"","Closed","Open"))</f>
        <v/>
      </c>
      <c r="T76" s="7"/>
    </row>
    <row r="77" customFormat="false" ht="15" hidden="false" customHeight="false" outlineLevel="0" collapsed="false">
      <c r="A77" s="7"/>
      <c r="B77" s="7"/>
      <c r="C77" s="7"/>
      <c r="D77" s="7"/>
      <c r="E77" s="7"/>
      <c r="F77" s="7"/>
      <c r="G77" s="8"/>
      <c r="H77" s="9"/>
      <c r="I77" s="9"/>
      <c r="J77" s="9"/>
      <c r="K77" s="7"/>
      <c r="L77" s="7"/>
      <c r="M77" s="9" t="str">
        <f aca="false">IF(AND(H77&lt;&gt;"",I77&lt;&gt;"",K77&lt;&gt;""),ABS(H77-I77)*K77,"")</f>
        <v/>
      </c>
      <c r="N77" s="9"/>
      <c r="O77" s="7"/>
      <c r="P77" s="9" t="str">
        <f aca="false">IF(N77&lt;&gt;"",(N77-H77)*K77*IF(E77="Buy",1,-1),"")</f>
        <v/>
      </c>
      <c r="Q77" s="10" t="str">
        <f aca="false">IF(AND(P77&lt;&gt;"",H77&lt;&gt;0,K77&lt;&gt;0),P77/(H77*K77),"")</f>
        <v/>
      </c>
      <c r="R77" s="11" t="str">
        <f aca="false">IF(AND(N77&lt;&gt;"",H77&lt;&gt;I77),IF(E77="Buy",(N77-H77)/(H77-I77),(H77-N77)/(I77-H77)),"")</f>
        <v/>
      </c>
      <c r="S77" s="7" t="str">
        <f aca="false">IF(D77="","",IF(N77&lt;&gt;"","Closed","Open"))</f>
        <v/>
      </c>
      <c r="T77" s="7"/>
    </row>
    <row r="78" customFormat="false" ht="15" hidden="false" customHeight="false" outlineLevel="0" collapsed="false">
      <c r="A78" s="7"/>
      <c r="B78" s="7"/>
      <c r="C78" s="7"/>
      <c r="D78" s="7"/>
      <c r="E78" s="7"/>
      <c r="F78" s="7"/>
      <c r="G78" s="8"/>
      <c r="H78" s="9"/>
      <c r="I78" s="9"/>
      <c r="J78" s="9"/>
      <c r="K78" s="7"/>
      <c r="L78" s="7"/>
      <c r="M78" s="9" t="str">
        <f aca="false">IF(AND(H78&lt;&gt;"",I78&lt;&gt;"",K78&lt;&gt;""),ABS(H78-I78)*K78,"")</f>
        <v/>
      </c>
      <c r="N78" s="9"/>
      <c r="O78" s="7"/>
      <c r="P78" s="9" t="str">
        <f aca="false">IF(N78&lt;&gt;"",(N78-H78)*K78*IF(E78="Buy",1,-1),"")</f>
        <v/>
      </c>
      <c r="Q78" s="10" t="str">
        <f aca="false">IF(AND(P78&lt;&gt;"",H78&lt;&gt;0,K78&lt;&gt;0),P78/(H78*K78),"")</f>
        <v/>
      </c>
      <c r="R78" s="11" t="str">
        <f aca="false">IF(AND(N78&lt;&gt;"",H78&lt;&gt;I78),IF(E78="Buy",(N78-H78)/(H78-I78),(H78-N78)/(I78-H78)),"")</f>
        <v/>
      </c>
      <c r="S78" s="7" t="str">
        <f aca="false">IF(D78="","",IF(N78&lt;&gt;"","Closed","Open"))</f>
        <v/>
      </c>
      <c r="T78" s="7"/>
    </row>
    <row r="79" customFormat="false" ht="15" hidden="false" customHeight="false" outlineLevel="0" collapsed="false">
      <c r="A79" s="7"/>
      <c r="B79" s="7"/>
      <c r="C79" s="7"/>
      <c r="D79" s="7"/>
      <c r="E79" s="7"/>
      <c r="F79" s="7"/>
      <c r="G79" s="8"/>
      <c r="H79" s="9"/>
      <c r="I79" s="9"/>
      <c r="J79" s="9"/>
      <c r="K79" s="7"/>
      <c r="L79" s="7"/>
      <c r="M79" s="9" t="str">
        <f aca="false">IF(AND(H79&lt;&gt;"",I79&lt;&gt;"",K79&lt;&gt;""),ABS(H79-I79)*K79,"")</f>
        <v/>
      </c>
      <c r="N79" s="9"/>
      <c r="O79" s="7"/>
      <c r="P79" s="9" t="str">
        <f aca="false">IF(N79&lt;&gt;"",(N79-H79)*K79*IF(E79="Buy",1,-1),"")</f>
        <v/>
      </c>
      <c r="Q79" s="10" t="str">
        <f aca="false">IF(AND(P79&lt;&gt;"",H79&lt;&gt;0,K79&lt;&gt;0),P79/(H79*K79),"")</f>
        <v/>
      </c>
      <c r="R79" s="11" t="str">
        <f aca="false">IF(AND(N79&lt;&gt;"",H79&lt;&gt;I79),IF(E79="Buy",(N79-H79)/(H79-I79),(H79-N79)/(I79-H79)),"")</f>
        <v/>
      </c>
      <c r="S79" s="7" t="str">
        <f aca="false">IF(D79="","",IF(N79&lt;&gt;"","Closed","Open"))</f>
        <v/>
      </c>
      <c r="T79" s="7"/>
    </row>
    <row r="80" customFormat="false" ht="15" hidden="false" customHeight="false" outlineLevel="0" collapsed="false">
      <c r="A80" s="7"/>
      <c r="B80" s="7"/>
      <c r="C80" s="7"/>
      <c r="D80" s="7"/>
      <c r="E80" s="7"/>
      <c r="F80" s="7"/>
      <c r="G80" s="8"/>
      <c r="H80" s="9"/>
      <c r="I80" s="9"/>
      <c r="J80" s="9"/>
      <c r="K80" s="7"/>
      <c r="L80" s="7"/>
      <c r="M80" s="9" t="str">
        <f aca="false">IF(AND(H80&lt;&gt;"",I80&lt;&gt;"",K80&lt;&gt;""),ABS(H80-I80)*K80,"")</f>
        <v/>
      </c>
      <c r="N80" s="9"/>
      <c r="O80" s="7"/>
      <c r="P80" s="9" t="str">
        <f aca="false">IF(N80&lt;&gt;"",(N80-H80)*K80*IF(E80="Buy",1,-1),"")</f>
        <v/>
      </c>
      <c r="Q80" s="10" t="str">
        <f aca="false">IF(AND(P80&lt;&gt;"",H80&lt;&gt;0,K80&lt;&gt;0),P80/(H80*K80),"")</f>
        <v/>
      </c>
      <c r="R80" s="11" t="str">
        <f aca="false">IF(AND(N80&lt;&gt;"",H80&lt;&gt;I80),IF(E80="Buy",(N80-H80)/(H80-I80),(H80-N80)/(I80-H80)),"")</f>
        <v/>
      </c>
      <c r="S80" s="7" t="str">
        <f aca="false">IF(D80="","",IF(N80&lt;&gt;"","Closed","Open"))</f>
        <v/>
      </c>
      <c r="T80" s="7"/>
    </row>
    <row r="81" customFormat="false" ht="15" hidden="false" customHeight="false" outlineLevel="0" collapsed="false">
      <c r="A81" s="7"/>
      <c r="B81" s="7"/>
      <c r="C81" s="7"/>
      <c r="D81" s="7"/>
      <c r="E81" s="7"/>
      <c r="F81" s="7"/>
      <c r="G81" s="8"/>
      <c r="H81" s="9"/>
      <c r="I81" s="9"/>
      <c r="J81" s="9"/>
      <c r="K81" s="7"/>
      <c r="L81" s="7"/>
      <c r="M81" s="9" t="str">
        <f aca="false">IF(AND(H81&lt;&gt;"",I81&lt;&gt;"",K81&lt;&gt;""),ABS(H81-I81)*K81,"")</f>
        <v/>
      </c>
      <c r="N81" s="9"/>
      <c r="O81" s="7"/>
      <c r="P81" s="9" t="str">
        <f aca="false">IF(N81&lt;&gt;"",(N81-H81)*K81*IF(E81="Buy",1,-1),"")</f>
        <v/>
      </c>
      <c r="Q81" s="10" t="str">
        <f aca="false">IF(AND(P81&lt;&gt;"",H81&lt;&gt;0,K81&lt;&gt;0),P81/(H81*K81),"")</f>
        <v/>
      </c>
      <c r="R81" s="11" t="str">
        <f aca="false">IF(AND(N81&lt;&gt;"",H81&lt;&gt;I81),IF(E81="Buy",(N81-H81)/(H81-I81),(H81-N81)/(I81-H81)),"")</f>
        <v/>
      </c>
      <c r="S81" s="7" t="str">
        <f aca="false">IF(D81="","",IF(N81&lt;&gt;"","Closed","Open"))</f>
        <v/>
      </c>
      <c r="T81" s="7"/>
    </row>
    <row r="82" customFormat="false" ht="15" hidden="false" customHeight="false" outlineLevel="0" collapsed="false">
      <c r="A82" s="7"/>
      <c r="B82" s="7"/>
      <c r="C82" s="7"/>
      <c r="D82" s="7"/>
      <c r="E82" s="7"/>
      <c r="F82" s="7"/>
      <c r="G82" s="8"/>
      <c r="H82" s="9"/>
      <c r="I82" s="9"/>
      <c r="J82" s="9"/>
      <c r="K82" s="7"/>
      <c r="L82" s="7"/>
      <c r="M82" s="9" t="str">
        <f aca="false">IF(AND(H82&lt;&gt;"",I82&lt;&gt;"",K82&lt;&gt;""),ABS(H82-I82)*K82,"")</f>
        <v/>
      </c>
      <c r="N82" s="9"/>
      <c r="O82" s="7"/>
      <c r="P82" s="9" t="str">
        <f aca="false">IF(N82&lt;&gt;"",(N82-H82)*K82*IF(E82="Buy",1,-1),"")</f>
        <v/>
      </c>
      <c r="Q82" s="10" t="str">
        <f aca="false">IF(AND(P82&lt;&gt;"",H82&lt;&gt;0,K82&lt;&gt;0),P82/(H82*K82),"")</f>
        <v/>
      </c>
      <c r="R82" s="11" t="str">
        <f aca="false">IF(AND(N82&lt;&gt;"",H82&lt;&gt;I82),IF(E82="Buy",(N82-H82)/(H82-I82),(H82-N82)/(I82-H82)),"")</f>
        <v/>
      </c>
      <c r="S82" s="7" t="str">
        <f aca="false">IF(D82="","",IF(N82&lt;&gt;"","Closed","Open"))</f>
        <v/>
      </c>
      <c r="T82" s="7"/>
    </row>
    <row r="83" customFormat="false" ht="15" hidden="false" customHeight="false" outlineLevel="0" collapsed="false">
      <c r="A83" s="7"/>
      <c r="B83" s="7"/>
      <c r="C83" s="7"/>
      <c r="D83" s="7"/>
      <c r="E83" s="7"/>
      <c r="F83" s="7"/>
      <c r="G83" s="8"/>
      <c r="H83" s="9"/>
      <c r="I83" s="9"/>
      <c r="J83" s="9"/>
      <c r="K83" s="7"/>
      <c r="L83" s="7"/>
      <c r="M83" s="9" t="str">
        <f aca="false">IF(AND(H83&lt;&gt;"",I83&lt;&gt;"",K83&lt;&gt;""),ABS(H83-I83)*K83,"")</f>
        <v/>
      </c>
      <c r="N83" s="9"/>
      <c r="O83" s="7"/>
      <c r="P83" s="9" t="str">
        <f aca="false">IF(N83&lt;&gt;"",(N83-H83)*K83*IF(E83="Buy",1,-1),"")</f>
        <v/>
      </c>
      <c r="Q83" s="10" t="str">
        <f aca="false">IF(AND(P83&lt;&gt;"",H83&lt;&gt;0,K83&lt;&gt;0),P83/(H83*K83),"")</f>
        <v/>
      </c>
      <c r="R83" s="11" t="str">
        <f aca="false">IF(AND(N83&lt;&gt;"",H83&lt;&gt;I83),IF(E83="Buy",(N83-H83)/(H83-I83),(H83-N83)/(I83-H83)),"")</f>
        <v/>
      </c>
      <c r="S83" s="7" t="str">
        <f aca="false">IF(D83="","",IF(N83&lt;&gt;"","Closed","Open"))</f>
        <v/>
      </c>
      <c r="T83" s="7"/>
    </row>
    <row r="84" customFormat="false" ht="15" hidden="false" customHeight="false" outlineLevel="0" collapsed="false">
      <c r="A84" s="7"/>
      <c r="B84" s="7"/>
      <c r="C84" s="7"/>
      <c r="D84" s="7"/>
      <c r="E84" s="7"/>
      <c r="F84" s="7"/>
      <c r="G84" s="8"/>
      <c r="H84" s="9"/>
      <c r="I84" s="9"/>
      <c r="J84" s="9"/>
      <c r="K84" s="7"/>
      <c r="L84" s="7"/>
      <c r="M84" s="9" t="str">
        <f aca="false">IF(AND(H84&lt;&gt;"",I84&lt;&gt;"",K84&lt;&gt;""),ABS(H84-I84)*K84,"")</f>
        <v/>
      </c>
      <c r="N84" s="9"/>
      <c r="O84" s="7"/>
      <c r="P84" s="9" t="str">
        <f aca="false">IF(N84&lt;&gt;"",(N84-H84)*K84*IF(E84="Buy",1,-1),"")</f>
        <v/>
      </c>
      <c r="Q84" s="10" t="str">
        <f aca="false">IF(AND(P84&lt;&gt;"",H84&lt;&gt;0,K84&lt;&gt;0),P84/(H84*K84),"")</f>
        <v/>
      </c>
      <c r="R84" s="11" t="str">
        <f aca="false">IF(AND(N84&lt;&gt;"",H84&lt;&gt;I84),IF(E84="Buy",(N84-H84)/(H84-I84),(H84-N84)/(I84-H84)),"")</f>
        <v/>
      </c>
      <c r="S84" s="7" t="str">
        <f aca="false">IF(D84="","",IF(N84&lt;&gt;"","Closed","Open"))</f>
        <v/>
      </c>
      <c r="T84" s="7"/>
    </row>
    <row r="85" customFormat="false" ht="15" hidden="false" customHeight="false" outlineLevel="0" collapsed="false">
      <c r="A85" s="7"/>
      <c r="B85" s="7"/>
      <c r="C85" s="7"/>
      <c r="D85" s="7"/>
      <c r="E85" s="7"/>
      <c r="F85" s="7"/>
      <c r="G85" s="8"/>
      <c r="H85" s="9"/>
      <c r="I85" s="9"/>
      <c r="J85" s="9"/>
      <c r="K85" s="7"/>
      <c r="L85" s="7"/>
      <c r="M85" s="9" t="str">
        <f aca="false">IF(AND(H85&lt;&gt;"",I85&lt;&gt;"",K85&lt;&gt;""),ABS(H85-I85)*K85,"")</f>
        <v/>
      </c>
      <c r="N85" s="9"/>
      <c r="O85" s="7"/>
      <c r="P85" s="9" t="str">
        <f aca="false">IF(N85&lt;&gt;"",(N85-H85)*K85*IF(E85="Buy",1,-1),"")</f>
        <v/>
      </c>
      <c r="Q85" s="10" t="str">
        <f aca="false">IF(AND(P85&lt;&gt;"",H85&lt;&gt;0,K85&lt;&gt;0),P85/(H85*K85),"")</f>
        <v/>
      </c>
      <c r="R85" s="11" t="str">
        <f aca="false">IF(AND(N85&lt;&gt;"",H85&lt;&gt;I85),IF(E85="Buy",(N85-H85)/(H85-I85),(H85-N85)/(I85-H85)),"")</f>
        <v/>
      </c>
      <c r="S85" s="7" t="str">
        <f aca="false">IF(D85="","",IF(N85&lt;&gt;"","Closed","Open"))</f>
        <v/>
      </c>
      <c r="T85" s="7"/>
    </row>
    <row r="86" customFormat="false" ht="15" hidden="false" customHeight="false" outlineLevel="0" collapsed="false">
      <c r="A86" s="7"/>
      <c r="B86" s="7"/>
      <c r="C86" s="7"/>
      <c r="D86" s="7"/>
      <c r="E86" s="7"/>
      <c r="F86" s="7"/>
      <c r="G86" s="8"/>
      <c r="H86" s="9"/>
      <c r="I86" s="9"/>
      <c r="J86" s="9"/>
      <c r="K86" s="7"/>
      <c r="L86" s="7"/>
      <c r="M86" s="9" t="str">
        <f aca="false">IF(AND(H86&lt;&gt;"",I86&lt;&gt;"",K86&lt;&gt;""),ABS(H86-I86)*K86,"")</f>
        <v/>
      </c>
      <c r="N86" s="9"/>
      <c r="O86" s="7"/>
      <c r="P86" s="9" t="str">
        <f aca="false">IF(N86&lt;&gt;"",(N86-H86)*K86*IF(E86="Buy",1,-1),"")</f>
        <v/>
      </c>
      <c r="Q86" s="10" t="str">
        <f aca="false">IF(AND(P86&lt;&gt;"",H86&lt;&gt;0,K86&lt;&gt;0),P86/(H86*K86),"")</f>
        <v/>
      </c>
      <c r="R86" s="11" t="str">
        <f aca="false">IF(AND(N86&lt;&gt;"",H86&lt;&gt;I86),IF(E86="Buy",(N86-H86)/(H86-I86),(H86-N86)/(I86-H86)),"")</f>
        <v/>
      </c>
      <c r="S86" s="7" t="str">
        <f aca="false">IF(D86="","",IF(N86&lt;&gt;"","Closed","Open"))</f>
        <v/>
      </c>
      <c r="T86" s="7"/>
    </row>
    <row r="87" customFormat="false" ht="15" hidden="false" customHeight="false" outlineLevel="0" collapsed="false">
      <c r="A87" s="7"/>
      <c r="B87" s="7"/>
      <c r="C87" s="7"/>
      <c r="D87" s="7"/>
      <c r="E87" s="7"/>
      <c r="F87" s="7"/>
      <c r="G87" s="8"/>
      <c r="H87" s="9"/>
      <c r="I87" s="9"/>
      <c r="J87" s="9"/>
      <c r="K87" s="7"/>
      <c r="L87" s="7"/>
      <c r="M87" s="9" t="str">
        <f aca="false">IF(AND(H87&lt;&gt;"",I87&lt;&gt;"",K87&lt;&gt;""),ABS(H87-I87)*K87,"")</f>
        <v/>
      </c>
      <c r="N87" s="9"/>
      <c r="O87" s="7"/>
      <c r="P87" s="9" t="str">
        <f aca="false">IF(N87&lt;&gt;"",(N87-H87)*K87*IF(E87="Buy",1,-1),"")</f>
        <v/>
      </c>
      <c r="Q87" s="10" t="str">
        <f aca="false">IF(AND(P87&lt;&gt;"",H87&lt;&gt;0,K87&lt;&gt;0),P87/(H87*K87),"")</f>
        <v/>
      </c>
      <c r="R87" s="11" t="str">
        <f aca="false">IF(AND(N87&lt;&gt;"",H87&lt;&gt;I87),IF(E87="Buy",(N87-H87)/(H87-I87),(H87-N87)/(I87-H87)),"")</f>
        <v/>
      </c>
      <c r="S87" s="7" t="str">
        <f aca="false">IF(D87="","",IF(N87&lt;&gt;"","Closed","Open"))</f>
        <v/>
      </c>
      <c r="T87" s="7"/>
    </row>
    <row r="88" customFormat="false" ht="15" hidden="false" customHeight="false" outlineLevel="0" collapsed="false">
      <c r="A88" s="7"/>
      <c r="B88" s="7"/>
      <c r="C88" s="7"/>
      <c r="D88" s="7"/>
      <c r="E88" s="7"/>
      <c r="F88" s="7"/>
      <c r="G88" s="8"/>
      <c r="H88" s="9"/>
      <c r="I88" s="9"/>
      <c r="J88" s="9"/>
      <c r="K88" s="7"/>
      <c r="L88" s="7"/>
      <c r="M88" s="9" t="str">
        <f aca="false">IF(AND(H88&lt;&gt;"",I88&lt;&gt;"",K88&lt;&gt;""),ABS(H88-I88)*K88,"")</f>
        <v/>
      </c>
      <c r="N88" s="9"/>
      <c r="O88" s="7"/>
      <c r="P88" s="9" t="str">
        <f aca="false">IF(N88&lt;&gt;"",(N88-H88)*K88*IF(E88="Buy",1,-1),"")</f>
        <v/>
      </c>
      <c r="Q88" s="10" t="str">
        <f aca="false">IF(AND(P88&lt;&gt;"",H88&lt;&gt;0,K88&lt;&gt;0),P88/(H88*K88),"")</f>
        <v/>
      </c>
      <c r="R88" s="11" t="str">
        <f aca="false">IF(AND(N88&lt;&gt;"",H88&lt;&gt;I88),IF(E88="Buy",(N88-H88)/(H88-I88),(H88-N88)/(I88-H88)),"")</f>
        <v/>
      </c>
      <c r="S88" s="7" t="str">
        <f aca="false">IF(D88="","",IF(N88&lt;&gt;"","Closed","Open"))</f>
        <v/>
      </c>
      <c r="T88" s="7"/>
    </row>
    <row r="89" customFormat="false" ht="15" hidden="false" customHeight="false" outlineLevel="0" collapsed="false">
      <c r="A89" s="7"/>
      <c r="B89" s="7"/>
      <c r="C89" s="7"/>
      <c r="D89" s="7"/>
      <c r="E89" s="7"/>
      <c r="F89" s="7"/>
      <c r="G89" s="8"/>
      <c r="H89" s="9"/>
      <c r="I89" s="9"/>
      <c r="J89" s="9"/>
      <c r="K89" s="7"/>
      <c r="L89" s="7"/>
      <c r="M89" s="9" t="str">
        <f aca="false">IF(AND(H89&lt;&gt;"",I89&lt;&gt;"",K89&lt;&gt;""),ABS(H89-I89)*K89,"")</f>
        <v/>
      </c>
      <c r="N89" s="9"/>
      <c r="O89" s="7"/>
      <c r="P89" s="9" t="str">
        <f aca="false">IF(N89&lt;&gt;"",(N89-H89)*K89*IF(E89="Buy",1,-1),"")</f>
        <v/>
      </c>
      <c r="Q89" s="10" t="str">
        <f aca="false">IF(AND(P89&lt;&gt;"",H89&lt;&gt;0,K89&lt;&gt;0),P89/(H89*K89),"")</f>
        <v/>
      </c>
      <c r="R89" s="11" t="str">
        <f aca="false">IF(AND(N89&lt;&gt;"",H89&lt;&gt;I89),IF(E89="Buy",(N89-H89)/(H89-I89),(H89-N89)/(I89-H89)),"")</f>
        <v/>
      </c>
      <c r="S89" s="7" t="str">
        <f aca="false">IF(D89="","",IF(N89&lt;&gt;"","Closed","Open"))</f>
        <v/>
      </c>
      <c r="T89" s="7"/>
    </row>
    <row r="90" customFormat="false" ht="15" hidden="false" customHeight="false" outlineLevel="0" collapsed="false">
      <c r="A90" s="7"/>
      <c r="B90" s="7"/>
      <c r="C90" s="7"/>
      <c r="D90" s="7"/>
      <c r="E90" s="7"/>
      <c r="F90" s="7"/>
      <c r="G90" s="8"/>
      <c r="H90" s="9"/>
      <c r="I90" s="9"/>
      <c r="J90" s="9"/>
      <c r="K90" s="7"/>
      <c r="L90" s="7"/>
      <c r="M90" s="9" t="str">
        <f aca="false">IF(AND(H90&lt;&gt;"",I90&lt;&gt;"",K90&lt;&gt;""),ABS(H90-I90)*K90,"")</f>
        <v/>
      </c>
      <c r="N90" s="9"/>
      <c r="O90" s="7"/>
      <c r="P90" s="9" t="str">
        <f aca="false">IF(N90&lt;&gt;"",(N90-H90)*K90*IF(E90="Buy",1,-1),"")</f>
        <v/>
      </c>
      <c r="Q90" s="10" t="str">
        <f aca="false">IF(AND(P90&lt;&gt;"",H90&lt;&gt;0,K90&lt;&gt;0),P90/(H90*K90),"")</f>
        <v/>
      </c>
      <c r="R90" s="11" t="str">
        <f aca="false">IF(AND(N90&lt;&gt;"",H90&lt;&gt;I90),IF(E90="Buy",(N90-H90)/(H90-I90),(H90-N90)/(I90-H90)),"")</f>
        <v/>
      </c>
      <c r="S90" s="7" t="str">
        <f aca="false">IF(D90="","",IF(N90&lt;&gt;"","Closed","Open"))</f>
        <v/>
      </c>
      <c r="T90" s="7"/>
    </row>
    <row r="91" customFormat="false" ht="15" hidden="false" customHeight="false" outlineLevel="0" collapsed="false">
      <c r="A91" s="7"/>
      <c r="B91" s="7"/>
      <c r="C91" s="7"/>
      <c r="D91" s="7"/>
      <c r="E91" s="7"/>
      <c r="F91" s="7"/>
      <c r="G91" s="8"/>
      <c r="H91" s="9"/>
      <c r="I91" s="9"/>
      <c r="J91" s="9"/>
      <c r="K91" s="7"/>
      <c r="L91" s="7"/>
      <c r="M91" s="9" t="str">
        <f aca="false">IF(AND(H91&lt;&gt;"",I91&lt;&gt;"",K91&lt;&gt;""),ABS(H91-I91)*K91,"")</f>
        <v/>
      </c>
      <c r="N91" s="9"/>
      <c r="O91" s="7"/>
      <c r="P91" s="9" t="str">
        <f aca="false">IF(N91&lt;&gt;"",(N91-H91)*K91*IF(E91="Buy",1,-1),"")</f>
        <v/>
      </c>
      <c r="Q91" s="10" t="str">
        <f aca="false">IF(AND(P91&lt;&gt;"",H91&lt;&gt;0,K91&lt;&gt;0),P91/(H91*K91),"")</f>
        <v/>
      </c>
      <c r="R91" s="11" t="str">
        <f aca="false">IF(AND(N91&lt;&gt;"",H91&lt;&gt;I91),IF(E91="Buy",(N91-H91)/(H91-I91),(H91-N91)/(I91-H91)),"")</f>
        <v/>
      </c>
      <c r="S91" s="7" t="str">
        <f aca="false">IF(D91="","",IF(N91&lt;&gt;"","Closed","Open"))</f>
        <v/>
      </c>
      <c r="T91" s="7"/>
    </row>
    <row r="92" customFormat="false" ht="15" hidden="false" customHeight="false" outlineLevel="0" collapsed="false">
      <c r="A92" s="7"/>
      <c r="B92" s="7"/>
      <c r="C92" s="7"/>
      <c r="D92" s="7"/>
      <c r="E92" s="7"/>
      <c r="F92" s="7"/>
      <c r="G92" s="8"/>
      <c r="H92" s="9"/>
      <c r="I92" s="9"/>
      <c r="J92" s="9"/>
      <c r="K92" s="7"/>
      <c r="L92" s="7"/>
      <c r="M92" s="9" t="str">
        <f aca="false">IF(AND(H92&lt;&gt;"",I92&lt;&gt;"",K92&lt;&gt;""),ABS(H92-I92)*K92,"")</f>
        <v/>
      </c>
      <c r="N92" s="9"/>
      <c r="O92" s="7"/>
      <c r="P92" s="9" t="str">
        <f aca="false">IF(N92&lt;&gt;"",(N92-H92)*K92*IF(E92="Buy",1,-1),"")</f>
        <v/>
      </c>
      <c r="Q92" s="10" t="str">
        <f aca="false">IF(AND(P92&lt;&gt;"",H92&lt;&gt;0,K92&lt;&gt;0),P92/(H92*K92),"")</f>
        <v/>
      </c>
      <c r="R92" s="11" t="str">
        <f aca="false">IF(AND(N92&lt;&gt;"",H92&lt;&gt;I92),IF(E92="Buy",(N92-H92)/(H92-I92),(H92-N92)/(I92-H92)),"")</f>
        <v/>
      </c>
      <c r="S92" s="7" t="str">
        <f aca="false">IF(D92="","",IF(N92&lt;&gt;"","Closed","Open"))</f>
        <v/>
      </c>
      <c r="T92" s="7"/>
    </row>
    <row r="93" customFormat="false" ht="15" hidden="false" customHeight="false" outlineLevel="0" collapsed="false">
      <c r="A93" s="7"/>
      <c r="B93" s="7"/>
      <c r="C93" s="7"/>
      <c r="D93" s="7"/>
      <c r="E93" s="7"/>
      <c r="F93" s="7"/>
      <c r="G93" s="8"/>
      <c r="H93" s="9"/>
      <c r="I93" s="9"/>
      <c r="J93" s="9"/>
      <c r="K93" s="7"/>
      <c r="L93" s="7"/>
      <c r="M93" s="9" t="str">
        <f aca="false">IF(AND(H93&lt;&gt;"",I93&lt;&gt;"",K93&lt;&gt;""),ABS(H93-I93)*K93,"")</f>
        <v/>
      </c>
      <c r="N93" s="9"/>
      <c r="O93" s="7"/>
      <c r="P93" s="9" t="str">
        <f aca="false">IF(N93&lt;&gt;"",(N93-H93)*K93*IF(E93="Buy",1,-1),"")</f>
        <v/>
      </c>
      <c r="Q93" s="10" t="str">
        <f aca="false">IF(AND(P93&lt;&gt;"",H93&lt;&gt;0,K93&lt;&gt;0),P93/(H93*K93),"")</f>
        <v/>
      </c>
      <c r="R93" s="11" t="str">
        <f aca="false">IF(AND(N93&lt;&gt;"",H93&lt;&gt;I93),IF(E93="Buy",(N93-H93)/(H93-I93),(H93-N93)/(I93-H93)),"")</f>
        <v/>
      </c>
      <c r="S93" s="7" t="str">
        <f aca="false">IF(D93="","",IF(N93&lt;&gt;"","Closed","Open"))</f>
        <v/>
      </c>
      <c r="T93" s="7"/>
    </row>
    <row r="94" customFormat="false" ht="15" hidden="false" customHeight="false" outlineLevel="0" collapsed="false">
      <c r="A94" s="7"/>
      <c r="B94" s="7"/>
      <c r="C94" s="7"/>
      <c r="D94" s="7"/>
      <c r="E94" s="7"/>
      <c r="F94" s="7"/>
      <c r="G94" s="8"/>
      <c r="H94" s="9"/>
      <c r="I94" s="9"/>
      <c r="J94" s="9"/>
      <c r="K94" s="7"/>
      <c r="L94" s="7"/>
      <c r="M94" s="9" t="str">
        <f aca="false">IF(AND(H94&lt;&gt;"",I94&lt;&gt;"",K94&lt;&gt;""),ABS(H94-I94)*K94,"")</f>
        <v/>
      </c>
      <c r="N94" s="9"/>
      <c r="O94" s="7"/>
      <c r="P94" s="9" t="str">
        <f aca="false">IF(N94&lt;&gt;"",(N94-H94)*K94*IF(E94="Buy",1,-1),"")</f>
        <v/>
      </c>
      <c r="Q94" s="10" t="str">
        <f aca="false">IF(AND(P94&lt;&gt;"",H94&lt;&gt;0,K94&lt;&gt;0),P94/(H94*K94),"")</f>
        <v/>
      </c>
      <c r="R94" s="11" t="str">
        <f aca="false">IF(AND(N94&lt;&gt;"",H94&lt;&gt;I94),IF(E94="Buy",(N94-H94)/(H94-I94),(H94-N94)/(I94-H94)),"")</f>
        <v/>
      </c>
      <c r="S94" s="7" t="str">
        <f aca="false">IF(D94="","",IF(N94&lt;&gt;"","Closed","Open"))</f>
        <v/>
      </c>
      <c r="T94" s="7"/>
    </row>
    <row r="95" customFormat="false" ht="15" hidden="false" customHeight="false" outlineLevel="0" collapsed="false">
      <c r="A95" s="7"/>
      <c r="B95" s="7"/>
      <c r="C95" s="7"/>
      <c r="D95" s="7"/>
      <c r="E95" s="7"/>
      <c r="F95" s="7"/>
      <c r="G95" s="8"/>
      <c r="H95" s="9"/>
      <c r="I95" s="9"/>
      <c r="J95" s="9"/>
      <c r="K95" s="7"/>
      <c r="L95" s="7"/>
      <c r="M95" s="9" t="str">
        <f aca="false">IF(AND(H95&lt;&gt;"",I95&lt;&gt;"",K95&lt;&gt;""),ABS(H95-I95)*K95,"")</f>
        <v/>
      </c>
      <c r="N95" s="9"/>
      <c r="O95" s="7"/>
      <c r="P95" s="9" t="str">
        <f aca="false">IF(N95&lt;&gt;"",(N95-H95)*K95*IF(E95="Buy",1,-1),"")</f>
        <v/>
      </c>
      <c r="Q95" s="10" t="str">
        <f aca="false">IF(AND(P95&lt;&gt;"",H95&lt;&gt;0,K95&lt;&gt;0),P95/(H95*K95),"")</f>
        <v/>
      </c>
      <c r="R95" s="11" t="str">
        <f aca="false">IF(AND(N95&lt;&gt;"",H95&lt;&gt;I95),IF(E95="Buy",(N95-H95)/(H95-I95),(H95-N95)/(I95-H95)),"")</f>
        <v/>
      </c>
      <c r="S95" s="7" t="str">
        <f aca="false">IF(D95="","",IF(N95&lt;&gt;"","Closed","Open"))</f>
        <v/>
      </c>
      <c r="T95" s="7"/>
    </row>
    <row r="96" customFormat="false" ht="15" hidden="false" customHeight="false" outlineLevel="0" collapsed="false">
      <c r="A96" s="7"/>
      <c r="B96" s="7"/>
      <c r="C96" s="7"/>
      <c r="D96" s="7"/>
      <c r="E96" s="7"/>
      <c r="F96" s="7"/>
      <c r="G96" s="8"/>
      <c r="H96" s="9"/>
      <c r="I96" s="9"/>
      <c r="J96" s="9"/>
      <c r="K96" s="7"/>
      <c r="L96" s="7"/>
      <c r="M96" s="9" t="str">
        <f aca="false">IF(AND(H96&lt;&gt;"",I96&lt;&gt;"",K96&lt;&gt;""),ABS(H96-I96)*K96,"")</f>
        <v/>
      </c>
      <c r="N96" s="9"/>
      <c r="O96" s="7"/>
      <c r="P96" s="9" t="str">
        <f aca="false">IF(N96&lt;&gt;"",(N96-H96)*K96*IF(E96="Buy",1,-1),"")</f>
        <v/>
      </c>
      <c r="Q96" s="10" t="str">
        <f aca="false">IF(AND(P96&lt;&gt;"",H96&lt;&gt;0,K96&lt;&gt;0),P96/(H96*K96),"")</f>
        <v/>
      </c>
      <c r="R96" s="11" t="str">
        <f aca="false">IF(AND(N96&lt;&gt;"",H96&lt;&gt;I96),IF(E96="Buy",(N96-H96)/(H96-I96),(H96-N96)/(I96-H96)),"")</f>
        <v/>
      </c>
      <c r="S96" s="7" t="str">
        <f aca="false">IF(D96="","",IF(N96&lt;&gt;"","Closed","Open"))</f>
        <v/>
      </c>
      <c r="T96" s="7"/>
    </row>
    <row r="97" customFormat="false" ht="15" hidden="false" customHeight="false" outlineLevel="0" collapsed="false">
      <c r="A97" s="7"/>
      <c r="B97" s="7"/>
      <c r="C97" s="7"/>
      <c r="D97" s="7"/>
      <c r="E97" s="7"/>
      <c r="F97" s="7"/>
      <c r="G97" s="8"/>
      <c r="H97" s="9"/>
      <c r="I97" s="9"/>
      <c r="J97" s="9"/>
      <c r="K97" s="7"/>
      <c r="L97" s="7"/>
      <c r="M97" s="9" t="str">
        <f aca="false">IF(AND(H97&lt;&gt;"",I97&lt;&gt;"",K97&lt;&gt;""),ABS(H97-I97)*K97,"")</f>
        <v/>
      </c>
      <c r="N97" s="9"/>
      <c r="O97" s="7"/>
      <c r="P97" s="9" t="str">
        <f aca="false">IF(N97&lt;&gt;"",(N97-H97)*K97*IF(E97="Buy",1,-1),"")</f>
        <v/>
      </c>
      <c r="Q97" s="10" t="str">
        <f aca="false">IF(AND(P97&lt;&gt;"",H97&lt;&gt;0,K97&lt;&gt;0),P97/(H97*K97),"")</f>
        <v/>
      </c>
      <c r="R97" s="11" t="str">
        <f aca="false">IF(AND(N97&lt;&gt;"",H97&lt;&gt;I97),IF(E97="Buy",(N97-H97)/(H97-I97),(H97-N97)/(I97-H97)),"")</f>
        <v/>
      </c>
      <c r="S97" s="7" t="str">
        <f aca="false">IF(D97="","",IF(N97&lt;&gt;"","Closed","Open"))</f>
        <v/>
      </c>
      <c r="T97" s="7"/>
    </row>
    <row r="98" customFormat="false" ht="15" hidden="false" customHeight="false" outlineLevel="0" collapsed="false">
      <c r="A98" s="7"/>
      <c r="B98" s="7"/>
      <c r="C98" s="7"/>
      <c r="D98" s="7"/>
      <c r="E98" s="7"/>
      <c r="F98" s="7"/>
      <c r="G98" s="8"/>
      <c r="H98" s="9"/>
      <c r="I98" s="9"/>
      <c r="J98" s="9"/>
      <c r="K98" s="7"/>
      <c r="L98" s="7"/>
      <c r="M98" s="9" t="str">
        <f aca="false">IF(AND(H98&lt;&gt;"",I98&lt;&gt;"",K98&lt;&gt;""),ABS(H98-I98)*K98,"")</f>
        <v/>
      </c>
      <c r="N98" s="9"/>
      <c r="O98" s="7"/>
      <c r="P98" s="9" t="str">
        <f aca="false">IF(N98&lt;&gt;"",(N98-H98)*K98*IF(E98="Buy",1,-1),"")</f>
        <v/>
      </c>
      <c r="Q98" s="10" t="str">
        <f aca="false">IF(AND(P98&lt;&gt;"",H98&lt;&gt;0,K98&lt;&gt;0),P98/(H98*K98),"")</f>
        <v/>
      </c>
      <c r="R98" s="11" t="str">
        <f aca="false">IF(AND(N98&lt;&gt;"",H98&lt;&gt;I98),IF(E98="Buy",(N98-H98)/(H98-I98),(H98-N98)/(I98-H98)),"")</f>
        <v/>
      </c>
      <c r="S98" s="7" t="str">
        <f aca="false">IF(D98="","",IF(N98&lt;&gt;"","Closed","Open"))</f>
        <v/>
      </c>
      <c r="T98" s="7"/>
    </row>
    <row r="99" customFormat="false" ht="15" hidden="false" customHeight="false" outlineLevel="0" collapsed="false">
      <c r="A99" s="7"/>
      <c r="B99" s="7"/>
      <c r="C99" s="7"/>
      <c r="D99" s="7"/>
      <c r="E99" s="7"/>
      <c r="F99" s="7"/>
      <c r="G99" s="8"/>
      <c r="H99" s="9"/>
      <c r="I99" s="9"/>
      <c r="J99" s="9"/>
      <c r="K99" s="7"/>
      <c r="L99" s="7"/>
      <c r="M99" s="9" t="str">
        <f aca="false">IF(AND(H99&lt;&gt;"",I99&lt;&gt;"",K99&lt;&gt;""),ABS(H99-I99)*K99,"")</f>
        <v/>
      </c>
      <c r="N99" s="9"/>
      <c r="O99" s="7"/>
      <c r="P99" s="9" t="str">
        <f aca="false">IF(N99&lt;&gt;"",(N99-H99)*K99*IF(E99="Buy",1,-1),"")</f>
        <v/>
      </c>
      <c r="Q99" s="10" t="str">
        <f aca="false">IF(AND(P99&lt;&gt;"",H99&lt;&gt;0,K99&lt;&gt;0),P99/(H99*K99),"")</f>
        <v/>
      </c>
      <c r="R99" s="11" t="str">
        <f aca="false">IF(AND(N99&lt;&gt;"",H99&lt;&gt;I99),IF(E99="Buy",(N99-H99)/(H99-I99),(H99-N99)/(I99-H99)),"")</f>
        <v/>
      </c>
      <c r="S99" s="7" t="str">
        <f aca="false">IF(D99="","",IF(N99&lt;&gt;"","Closed","Open"))</f>
        <v/>
      </c>
      <c r="T99" s="7"/>
    </row>
    <row r="100" customFormat="false" ht="15" hidden="false" customHeight="false" outlineLevel="0" collapsed="false">
      <c r="A100" s="7"/>
      <c r="B100" s="7"/>
      <c r="C100" s="7"/>
      <c r="D100" s="7"/>
      <c r="E100" s="7"/>
      <c r="F100" s="7"/>
      <c r="G100" s="8"/>
      <c r="H100" s="9"/>
      <c r="I100" s="9"/>
      <c r="J100" s="9"/>
      <c r="K100" s="7"/>
      <c r="L100" s="7"/>
      <c r="M100" s="9" t="str">
        <f aca="false">IF(AND(H100&lt;&gt;"",I100&lt;&gt;"",K100&lt;&gt;""),ABS(H100-I100)*K100,"")</f>
        <v/>
      </c>
      <c r="N100" s="9"/>
      <c r="O100" s="7"/>
      <c r="P100" s="9" t="str">
        <f aca="false">IF(N100&lt;&gt;"",(N100-H100)*K100*IF(E100="Buy",1,-1),"")</f>
        <v/>
      </c>
      <c r="Q100" s="10" t="str">
        <f aca="false">IF(AND(P100&lt;&gt;"",H100&lt;&gt;0,K100&lt;&gt;0),P100/(H100*K100),"")</f>
        <v/>
      </c>
      <c r="R100" s="11" t="str">
        <f aca="false">IF(AND(N100&lt;&gt;"",H100&lt;&gt;I100),IF(E100="Buy",(N100-H100)/(H100-I100),(H100-N100)/(I100-H100)),"")</f>
        <v/>
      </c>
      <c r="S100" s="7" t="str">
        <f aca="false">IF(D100="","",IF(N100&lt;&gt;"","Closed","Open"))</f>
        <v/>
      </c>
      <c r="T100" s="7"/>
    </row>
    <row r="101" customFormat="false" ht="15" hidden="false" customHeight="false" outlineLevel="0" collapsed="false">
      <c r="A101" s="7"/>
      <c r="B101" s="7"/>
      <c r="C101" s="7"/>
      <c r="D101" s="7"/>
      <c r="E101" s="7"/>
      <c r="F101" s="7"/>
      <c r="G101" s="8"/>
      <c r="H101" s="9"/>
      <c r="I101" s="9"/>
      <c r="J101" s="9"/>
      <c r="K101" s="7"/>
      <c r="L101" s="7"/>
      <c r="M101" s="9" t="str">
        <f aca="false">IF(AND(H101&lt;&gt;"",I101&lt;&gt;"",K101&lt;&gt;""),ABS(H101-I101)*K101,"")</f>
        <v/>
      </c>
      <c r="N101" s="9"/>
      <c r="O101" s="7"/>
      <c r="P101" s="9" t="str">
        <f aca="false">IF(N101&lt;&gt;"",(N101-H101)*K101*IF(E101="Buy",1,-1),"")</f>
        <v/>
      </c>
      <c r="Q101" s="10" t="str">
        <f aca="false">IF(AND(P101&lt;&gt;"",H101&lt;&gt;0,K101&lt;&gt;0),P101/(H101*K101),"")</f>
        <v/>
      </c>
      <c r="R101" s="11" t="str">
        <f aca="false">IF(AND(N101&lt;&gt;"",H101&lt;&gt;I101),IF(E101="Buy",(N101-H101)/(H101-I101),(H101-N101)/(I101-H101)),"")</f>
        <v/>
      </c>
      <c r="S101" s="7" t="str">
        <f aca="false">IF(D101="","",IF(N101&lt;&gt;"","Closed","Open"))</f>
        <v/>
      </c>
      <c r="T101" s="7"/>
    </row>
    <row r="102" customFormat="false" ht="15" hidden="false" customHeight="false" outlineLevel="0" collapsed="false">
      <c r="A102" s="7"/>
      <c r="B102" s="7"/>
      <c r="C102" s="7"/>
      <c r="D102" s="7"/>
      <c r="E102" s="7"/>
      <c r="F102" s="7"/>
      <c r="G102" s="8"/>
      <c r="H102" s="9"/>
      <c r="I102" s="9"/>
      <c r="J102" s="9"/>
      <c r="K102" s="7"/>
      <c r="L102" s="7"/>
      <c r="M102" s="9" t="str">
        <f aca="false">IF(AND(H102&lt;&gt;"",I102&lt;&gt;"",K102&lt;&gt;""),ABS(H102-I102)*K102,"")</f>
        <v/>
      </c>
      <c r="N102" s="9"/>
      <c r="O102" s="7"/>
      <c r="P102" s="9" t="str">
        <f aca="false">IF(N102&lt;&gt;"",(N102-H102)*K102*IF(E102="Buy",1,-1),"")</f>
        <v/>
      </c>
      <c r="Q102" s="10" t="str">
        <f aca="false">IF(AND(P102&lt;&gt;"",H102&lt;&gt;0,K102&lt;&gt;0),P102/(H102*K102),"")</f>
        <v/>
      </c>
      <c r="R102" s="11" t="str">
        <f aca="false">IF(AND(N102&lt;&gt;"",H102&lt;&gt;I102),IF(E102="Buy",(N102-H102)/(H102-I102),(H102-N102)/(I102-H102)),"")</f>
        <v/>
      </c>
      <c r="S102" s="7" t="str">
        <f aca="false">IF(D102="","",IF(N102&lt;&gt;"","Closed","Open"))</f>
        <v/>
      </c>
      <c r="T102" s="7"/>
    </row>
    <row r="103" customFormat="false" ht="15" hidden="false" customHeight="false" outlineLevel="0" collapsed="false">
      <c r="A103" s="7"/>
      <c r="B103" s="7"/>
      <c r="C103" s="7"/>
      <c r="D103" s="7"/>
      <c r="E103" s="7"/>
      <c r="F103" s="7"/>
      <c r="G103" s="8"/>
      <c r="H103" s="9"/>
      <c r="I103" s="9"/>
      <c r="J103" s="9"/>
      <c r="K103" s="7"/>
      <c r="L103" s="7"/>
      <c r="M103" s="9" t="str">
        <f aca="false">IF(AND(H103&lt;&gt;"",I103&lt;&gt;"",K103&lt;&gt;""),ABS(H103-I103)*K103,"")</f>
        <v/>
      </c>
      <c r="N103" s="9"/>
      <c r="O103" s="7"/>
      <c r="P103" s="9" t="str">
        <f aca="false">IF(N103&lt;&gt;"",(N103-H103)*K103*IF(E103="Buy",1,-1),"")</f>
        <v/>
      </c>
      <c r="Q103" s="10" t="str">
        <f aca="false">IF(AND(P103&lt;&gt;"",H103&lt;&gt;0,K103&lt;&gt;0),P103/(H103*K103),"")</f>
        <v/>
      </c>
      <c r="R103" s="11" t="str">
        <f aca="false">IF(AND(N103&lt;&gt;"",H103&lt;&gt;I103),IF(E103="Buy",(N103-H103)/(H103-I103),(H103-N103)/(I103-H103)),"")</f>
        <v/>
      </c>
      <c r="S103" s="7" t="str">
        <f aca="false">IF(D103="","",IF(N103&lt;&gt;"","Closed","Open"))</f>
        <v/>
      </c>
      <c r="T103" s="7"/>
    </row>
    <row r="104" customFormat="false" ht="15" hidden="false" customHeight="false" outlineLevel="0" collapsed="false">
      <c r="A104" s="7"/>
      <c r="B104" s="7"/>
      <c r="C104" s="7"/>
      <c r="D104" s="7"/>
      <c r="E104" s="7"/>
      <c r="F104" s="7"/>
      <c r="G104" s="8"/>
      <c r="H104" s="9"/>
      <c r="I104" s="9"/>
      <c r="J104" s="9"/>
      <c r="K104" s="7"/>
      <c r="L104" s="7"/>
      <c r="M104" s="9" t="str">
        <f aca="false">IF(AND(H104&lt;&gt;"",I104&lt;&gt;"",K104&lt;&gt;""),ABS(H104-I104)*K104,"")</f>
        <v/>
      </c>
      <c r="N104" s="9"/>
      <c r="O104" s="7"/>
      <c r="P104" s="9" t="str">
        <f aca="false">IF(N104&lt;&gt;"",(N104-H104)*K104*IF(E104="Buy",1,-1),"")</f>
        <v/>
      </c>
      <c r="Q104" s="10" t="str">
        <f aca="false">IF(AND(P104&lt;&gt;"",H104&lt;&gt;0,K104&lt;&gt;0),P104/(H104*K104),"")</f>
        <v/>
      </c>
      <c r="R104" s="11" t="str">
        <f aca="false">IF(AND(N104&lt;&gt;"",H104&lt;&gt;I104),IF(E104="Buy",(N104-H104)/(H104-I104),(H104-N104)/(I104-H104)),"")</f>
        <v/>
      </c>
      <c r="S104" s="7" t="str">
        <f aca="false">IF(D104="","",IF(N104&lt;&gt;"","Closed","Open"))</f>
        <v/>
      </c>
      <c r="T104" s="7"/>
    </row>
    <row r="105" customFormat="false" ht="15" hidden="false" customHeight="false" outlineLevel="0" collapsed="false">
      <c r="A105" s="7"/>
      <c r="B105" s="7"/>
      <c r="C105" s="7"/>
      <c r="D105" s="7"/>
      <c r="E105" s="7"/>
      <c r="F105" s="7"/>
      <c r="G105" s="8"/>
      <c r="H105" s="9"/>
      <c r="I105" s="9"/>
      <c r="J105" s="9"/>
      <c r="K105" s="7"/>
      <c r="L105" s="7"/>
      <c r="M105" s="9" t="str">
        <f aca="false">IF(AND(H105&lt;&gt;"",I105&lt;&gt;"",K105&lt;&gt;""),ABS(H105-I105)*K105,"")</f>
        <v/>
      </c>
      <c r="N105" s="9"/>
      <c r="O105" s="7"/>
      <c r="P105" s="9" t="str">
        <f aca="false">IF(N105&lt;&gt;"",(N105-H105)*K105*IF(E105="Buy",1,-1),"")</f>
        <v/>
      </c>
      <c r="Q105" s="10" t="str">
        <f aca="false">IF(AND(P105&lt;&gt;"",H105&lt;&gt;0,K105&lt;&gt;0),P105/(H105*K105),"")</f>
        <v/>
      </c>
      <c r="R105" s="11" t="str">
        <f aca="false">IF(AND(N105&lt;&gt;"",H105&lt;&gt;I105),IF(E105="Buy",(N105-H105)/(H105-I105),(H105-N105)/(I105-H105)),"")</f>
        <v/>
      </c>
      <c r="S105" s="7" t="str">
        <f aca="false">IF(D105="","",IF(N105&lt;&gt;"","Closed","Open"))</f>
        <v/>
      </c>
      <c r="T105" s="7"/>
    </row>
    <row r="106" customFormat="false" ht="15" hidden="false" customHeight="false" outlineLevel="0" collapsed="false">
      <c r="A106" s="7"/>
      <c r="B106" s="7"/>
      <c r="C106" s="7"/>
      <c r="D106" s="7"/>
      <c r="E106" s="7"/>
      <c r="F106" s="7"/>
      <c r="G106" s="8"/>
      <c r="H106" s="9"/>
      <c r="I106" s="9"/>
      <c r="J106" s="9"/>
      <c r="K106" s="7"/>
      <c r="L106" s="7"/>
      <c r="M106" s="9" t="str">
        <f aca="false">IF(AND(H106&lt;&gt;"",I106&lt;&gt;"",K106&lt;&gt;""),ABS(H106-I106)*K106,"")</f>
        <v/>
      </c>
      <c r="N106" s="9"/>
      <c r="O106" s="7"/>
      <c r="P106" s="9" t="str">
        <f aca="false">IF(N106&lt;&gt;"",(N106-H106)*K106*IF(E106="Buy",1,-1),"")</f>
        <v/>
      </c>
      <c r="Q106" s="10" t="str">
        <f aca="false">IF(AND(P106&lt;&gt;"",H106&lt;&gt;0,K106&lt;&gt;0),P106/(H106*K106),"")</f>
        <v/>
      </c>
      <c r="R106" s="11" t="str">
        <f aca="false">IF(AND(N106&lt;&gt;"",H106&lt;&gt;I106),IF(E106="Buy",(N106-H106)/(H106-I106),(H106-N106)/(I106-H106)),"")</f>
        <v/>
      </c>
      <c r="S106" s="7" t="str">
        <f aca="false">IF(D106="","",IF(N106&lt;&gt;"","Closed","Open"))</f>
        <v/>
      </c>
      <c r="T106" s="7"/>
    </row>
    <row r="107" customFormat="false" ht="15" hidden="false" customHeight="false" outlineLevel="0" collapsed="false">
      <c r="A107" s="7"/>
      <c r="B107" s="7"/>
      <c r="C107" s="7"/>
      <c r="D107" s="7"/>
      <c r="E107" s="7"/>
      <c r="F107" s="7"/>
      <c r="G107" s="8"/>
      <c r="H107" s="9"/>
      <c r="I107" s="9"/>
      <c r="J107" s="9"/>
      <c r="K107" s="7"/>
      <c r="L107" s="7"/>
      <c r="M107" s="9" t="str">
        <f aca="false">IF(AND(H107&lt;&gt;"",I107&lt;&gt;"",K107&lt;&gt;""),ABS(H107-I107)*K107,"")</f>
        <v/>
      </c>
      <c r="N107" s="9"/>
      <c r="O107" s="7"/>
      <c r="P107" s="9" t="str">
        <f aca="false">IF(N107&lt;&gt;"",(N107-H107)*K107*IF(E107="Buy",1,-1),"")</f>
        <v/>
      </c>
      <c r="Q107" s="10" t="str">
        <f aca="false">IF(AND(P107&lt;&gt;"",H107&lt;&gt;0,K107&lt;&gt;0),P107/(H107*K107),"")</f>
        <v/>
      </c>
      <c r="R107" s="11" t="str">
        <f aca="false">IF(AND(N107&lt;&gt;"",H107&lt;&gt;I107),IF(E107="Buy",(N107-H107)/(H107-I107),(H107-N107)/(I107-H107)),"")</f>
        <v/>
      </c>
      <c r="S107" s="7" t="str">
        <f aca="false">IF(D107="","",IF(N107&lt;&gt;"","Closed","Open"))</f>
        <v/>
      </c>
      <c r="T107" s="7"/>
    </row>
    <row r="108" customFormat="false" ht="15" hidden="false" customHeight="false" outlineLevel="0" collapsed="false">
      <c r="A108" s="7"/>
      <c r="B108" s="7"/>
      <c r="C108" s="7"/>
      <c r="D108" s="7"/>
      <c r="E108" s="7"/>
      <c r="F108" s="7"/>
      <c r="G108" s="8"/>
      <c r="H108" s="9"/>
      <c r="I108" s="9"/>
      <c r="J108" s="9"/>
      <c r="K108" s="7"/>
      <c r="L108" s="7"/>
      <c r="M108" s="9" t="str">
        <f aca="false">IF(AND(H108&lt;&gt;"",I108&lt;&gt;"",K108&lt;&gt;""),ABS(H108-I108)*K108,"")</f>
        <v/>
      </c>
      <c r="N108" s="9"/>
      <c r="O108" s="7"/>
      <c r="P108" s="9" t="str">
        <f aca="false">IF(N108&lt;&gt;"",(N108-H108)*K108*IF(E108="Buy",1,-1),"")</f>
        <v/>
      </c>
      <c r="Q108" s="10" t="str">
        <f aca="false">IF(AND(P108&lt;&gt;"",H108&lt;&gt;0,K108&lt;&gt;0),P108/(H108*K108),"")</f>
        <v/>
      </c>
      <c r="R108" s="11" t="str">
        <f aca="false">IF(AND(N108&lt;&gt;"",H108&lt;&gt;I108),IF(E108="Buy",(N108-H108)/(H108-I108),(H108-N108)/(I108-H108)),"")</f>
        <v/>
      </c>
      <c r="S108" s="7" t="str">
        <f aca="false">IF(D108="","",IF(N108&lt;&gt;"","Closed","Open"))</f>
        <v/>
      </c>
      <c r="T108" s="7"/>
    </row>
    <row r="109" customFormat="false" ht="15" hidden="false" customHeight="false" outlineLevel="0" collapsed="false">
      <c r="A109" s="7"/>
      <c r="B109" s="7"/>
      <c r="C109" s="7"/>
      <c r="D109" s="7"/>
      <c r="E109" s="7"/>
      <c r="F109" s="7"/>
      <c r="G109" s="8"/>
      <c r="H109" s="9"/>
      <c r="I109" s="9"/>
      <c r="J109" s="9"/>
      <c r="K109" s="7"/>
      <c r="L109" s="7"/>
      <c r="M109" s="9" t="str">
        <f aca="false">IF(AND(H109&lt;&gt;"",I109&lt;&gt;"",K109&lt;&gt;""),ABS(H109-I109)*K109,"")</f>
        <v/>
      </c>
      <c r="N109" s="9"/>
      <c r="O109" s="7"/>
      <c r="P109" s="9" t="str">
        <f aca="false">IF(N109&lt;&gt;"",(N109-H109)*K109*IF(E109="Buy",1,-1),"")</f>
        <v/>
      </c>
      <c r="Q109" s="10" t="str">
        <f aca="false">IF(AND(P109&lt;&gt;"",H109&lt;&gt;0,K109&lt;&gt;0),P109/(H109*K109),"")</f>
        <v/>
      </c>
      <c r="R109" s="11" t="str">
        <f aca="false">IF(AND(N109&lt;&gt;"",H109&lt;&gt;I109),IF(E109="Buy",(N109-H109)/(H109-I109),(H109-N109)/(I109-H109)),"")</f>
        <v/>
      </c>
      <c r="S109" s="7" t="str">
        <f aca="false">IF(D109="","",IF(N109&lt;&gt;"","Closed","Open"))</f>
        <v/>
      </c>
      <c r="T109" s="7"/>
    </row>
    <row r="110" customFormat="false" ht="15" hidden="false" customHeight="false" outlineLevel="0" collapsed="false">
      <c r="A110" s="7"/>
      <c r="B110" s="7"/>
      <c r="C110" s="7"/>
      <c r="D110" s="7"/>
      <c r="E110" s="7"/>
      <c r="F110" s="7"/>
      <c r="G110" s="8"/>
      <c r="H110" s="9"/>
      <c r="I110" s="9"/>
      <c r="J110" s="9"/>
      <c r="K110" s="7"/>
      <c r="L110" s="7"/>
      <c r="M110" s="9" t="str">
        <f aca="false">IF(AND(H110&lt;&gt;"",I110&lt;&gt;"",K110&lt;&gt;""),ABS(H110-I110)*K110,"")</f>
        <v/>
      </c>
      <c r="N110" s="9"/>
      <c r="O110" s="7"/>
      <c r="P110" s="9" t="str">
        <f aca="false">IF(N110&lt;&gt;"",(N110-H110)*K110*IF(E110="Buy",1,-1),"")</f>
        <v/>
      </c>
      <c r="Q110" s="10" t="str">
        <f aca="false">IF(AND(P110&lt;&gt;"",H110&lt;&gt;0,K110&lt;&gt;0),P110/(H110*K110),"")</f>
        <v/>
      </c>
      <c r="R110" s="11" t="str">
        <f aca="false">IF(AND(N110&lt;&gt;"",H110&lt;&gt;I110),IF(E110="Buy",(N110-H110)/(H110-I110),(H110-N110)/(I110-H110)),"")</f>
        <v/>
      </c>
      <c r="S110" s="7" t="str">
        <f aca="false">IF(D110="","",IF(N110&lt;&gt;"","Closed","Open"))</f>
        <v/>
      </c>
      <c r="T110" s="7"/>
    </row>
    <row r="111" customFormat="false" ht="15" hidden="false" customHeight="false" outlineLevel="0" collapsed="false">
      <c r="A111" s="7"/>
      <c r="B111" s="7"/>
      <c r="C111" s="7"/>
      <c r="D111" s="7"/>
      <c r="E111" s="7"/>
      <c r="F111" s="7"/>
      <c r="G111" s="8"/>
      <c r="H111" s="9"/>
      <c r="I111" s="9"/>
      <c r="J111" s="9"/>
      <c r="K111" s="7"/>
      <c r="L111" s="7"/>
      <c r="M111" s="9" t="str">
        <f aca="false">IF(AND(H111&lt;&gt;"",I111&lt;&gt;"",K111&lt;&gt;""),ABS(H111-I111)*K111,"")</f>
        <v/>
      </c>
      <c r="N111" s="9"/>
      <c r="O111" s="7"/>
      <c r="P111" s="9" t="str">
        <f aca="false">IF(N111&lt;&gt;"",(N111-H111)*K111*IF(E111="Buy",1,-1),"")</f>
        <v/>
      </c>
      <c r="Q111" s="10" t="str">
        <f aca="false">IF(AND(P111&lt;&gt;"",H111&lt;&gt;0,K111&lt;&gt;0),P111/(H111*K111),"")</f>
        <v/>
      </c>
      <c r="R111" s="11" t="str">
        <f aca="false">IF(AND(N111&lt;&gt;"",H111&lt;&gt;I111),IF(E111="Buy",(N111-H111)/(H111-I111),(H111-N111)/(I111-H111)),"")</f>
        <v/>
      </c>
      <c r="S111" s="7" t="str">
        <f aca="false">IF(D111="","",IF(N111&lt;&gt;"","Closed","Open"))</f>
        <v/>
      </c>
      <c r="T111" s="7"/>
    </row>
    <row r="112" customFormat="false" ht="15" hidden="false" customHeight="false" outlineLevel="0" collapsed="false">
      <c r="A112" s="7"/>
      <c r="B112" s="7"/>
      <c r="C112" s="7"/>
      <c r="D112" s="7"/>
      <c r="E112" s="7"/>
      <c r="F112" s="7"/>
      <c r="G112" s="8"/>
      <c r="H112" s="9"/>
      <c r="I112" s="9"/>
      <c r="J112" s="9"/>
      <c r="K112" s="7"/>
      <c r="L112" s="7"/>
      <c r="M112" s="9" t="str">
        <f aca="false">IF(AND(H112&lt;&gt;"",I112&lt;&gt;"",K112&lt;&gt;""),ABS(H112-I112)*K112,"")</f>
        <v/>
      </c>
      <c r="N112" s="9"/>
      <c r="O112" s="7"/>
      <c r="P112" s="9" t="str">
        <f aca="false">IF(N112&lt;&gt;"",(N112-H112)*K112*IF(E112="Buy",1,-1),"")</f>
        <v/>
      </c>
      <c r="Q112" s="10" t="str">
        <f aca="false">IF(AND(P112&lt;&gt;"",H112&lt;&gt;0,K112&lt;&gt;0),P112/(H112*K112),"")</f>
        <v/>
      </c>
      <c r="R112" s="11" t="str">
        <f aca="false">IF(AND(N112&lt;&gt;"",H112&lt;&gt;I112),IF(E112="Buy",(N112-H112)/(H112-I112),(H112-N112)/(I112-H112)),"")</f>
        <v/>
      </c>
      <c r="S112" s="7" t="str">
        <f aca="false">IF(D112="","",IF(N112&lt;&gt;"","Closed","Open"))</f>
        <v/>
      </c>
      <c r="T112" s="7"/>
    </row>
    <row r="113" customFormat="false" ht="15" hidden="false" customHeight="false" outlineLevel="0" collapsed="false">
      <c r="A113" s="7"/>
      <c r="B113" s="7"/>
      <c r="C113" s="7"/>
      <c r="D113" s="7"/>
      <c r="E113" s="7"/>
      <c r="F113" s="7"/>
      <c r="G113" s="8"/>
      <c r="H113" s="9"/>
      <c r="I113" s="9"/>
      <c r="J113" s="9"/>
      <c r="K113" s="7"/>
      <c r="L113" s="7"/>
      <c r="M113" s="9" t="str">
        <f aca="false">IF(AND(H113&lt;&gt;"",I113&lt;&gt;"",K113&lt;&gt;""),ABS(H113-I113)*K113,"")</f>
        <v/>
      </c>
      <c r="N113" s="9"/>
      <c r="O113" s="7"/>
      <c r="P113" s="9" t="str">
        <f aca="false">IF(N113&lt;&gt;"",(N113-H113)*K113*IF(E113="Buy",1,-1),"")</f>
        <v/>
      </c>
      <c r="Q113" s="10" t="str">
        <f aca="false">IF(AND(P113&lt;&gt;"",H113&lt;&gt;0,K113&lt;&gt;0),P113/(H113*K113),"")</f>
        <v/>
      </c>
      <c r="R113" s="11" t="str">
        <f aca="false">IF(AND(N113&lt;&gt;"",H113&lt;&gt;I113),IF(E113="Buy",(N113-H113)/(H113-I113),(H113-N113)/(I113-H113)),"")</f>
        <v/>
      </c>
      <c r="S113" s="7" t="str">
        <f aca="false">IF(D113="","",IF(N113&lt;&gt;"","Closed","Open"))</f>
        <v/>
      </c>
      <c r="T113" s="7"/>
    </row>
    <row r="114" customFormat="false" ht="15" hidden="false" customHeight="false" outlineLevel="0" collapsed="false">
      <c r="A114" s="7"/>
      <c r="B114" s="7"/>
      <c r="C114" s="7"/>
      <c r="D114" s="7"/>
      <c r="E114" s="7"/>
      <c r="F114" s="7"/>
      <c r="G114" s="8"/>
      <c r="H114" s="9"/>
      <c r="I114" s="9"/>
      <c r="J114" s="9"/>
      <c r="K114" s="7"/>
      <c r="L114" s="7"/>
      <c r="M114" s="9" t="str">
        <f aca="false">IF(AND(H114&lt;&gt;"",I114&lt;&gt;"",K114&lt;&gt;""),ABS(H114-I114)*K114,"")</f>
        <v/>
      </c>
      <c r="N114" s="9"/>
      <c r="O114" s="7"/>
      <c r="P114" s="9" t="str">
        <f aca="false">IF(N114&lt;&gt;"",(N114-H114)*K114*IF(E114="Buy",1,-1),"")</f>
        <v/>
      </c>
      <c r="Q114" s="10" t="str">
        <f aca="false">IF(AND(P114&lt;&gt;"",H114&lt;&gt;0,K114&lt;&gt;0),P114/(H114*K114),"")</f>
        <v/>
      </c>
      <c r="R114" s="11" t="str">
        <f aca="false">IF(AND(N114&lt;&gt;"",H114&lt;&gt;I114),IF(E114="Buy",(N114-H114)/(H114-I114),(H114-N114)/(I114-H114)),"")</f>
        <v/>
      </c>
      <c r="S114" s="7" t="str">
        <f aca="false">IF(D114="","",IF(N114&lt;&gt;"","Closed","Open"))</f>
        <v/>
      </c>
      <c r="T114" s="7"/>
    </row>
    <row r="115" customFormat="false" ht="15" hidden="false" customHeight="false" outlineLevel="0" collapsed="false">
      <c r="A115" s="7"/>
      <c r="B115" s="7"/>
      <c r="C115" s="7"/>
      <c r="D115" s="7"/>
      <c r="E115" s="7"/>
      <c r="F115" s="7"/>
      <c r="G115" s="8"/>
      <c r="H115" s="9"/>
      <c r="I115" s="9"/>
      <c r="J115" s="9"/>
      <c r="K115" s="7"/>
      <c r="L115" s="7"/>
      <c r="M115" s="9" t="str">
        <f aca="false">IF(AND(H115&lt;&gt;"",I115&lt;&gt;"",K115&lt;&gt;""),ABS(H115-I115)*K115,"")</f>
        <v/>
      </c>
      <c r="N115" s="9"/>
      <c r="O115" s="7"/>
      <c r="P115" s="9" t="str">
        <f aca="false">IF(N115&lt;&gt;"",(N115-H115)*K115*IF(E115="Buy",1,-1),"")</f>
        <v/>
      </c>
      <c r="Q115" s="10" t="str">
        <f aca="false">IF(AND(P115&lt;&gt;"",H115&lt;&gt;0,K115&lt;&gt;0),P115/(H115*K115),"")</f>
        <v/>
      </c>
      <c r="R115" s="11" t="str">
        <f aca="false">IF(AND(N115&lt;&gt;"",H115&lt;&gt;I115),IF(E115="Buy",(N115-H115)/(H115-I115),(H115-N115)/(I115-H115)),"")</f>
        <v/>
      </c>
      <c r="S115" s="7" t="str">
        <f aca="false">IF(D115="","",IF(N115&lt;&gt;"","Closed","Open"))</f>
        <v/>
      </c>
      <c r="T115" s="7"/>
    </row>
    <row r="116" customFormat="false" ht="15" hidden="false" customHeight="false" outlineLevel="0" collapsed="false">
      <c r="A116" s="7"/>
      <c r="B116" s="7"/>
      <c r="C116" s="7"/>
      <c r="D116" s="7"/>
      <c r="E116" s="7"/>
      <c r="F116" s="7"/>
      <c r="G116" s="8"/>
      <c r="H116" s="9"/>
      <c r="I116" s="9"/>
      <c r="J116" s="9"/>
      <c r="K116" s="7"/>
      <c r="L116" s="7"/>
      <c r="M116" s="9" t="str">
        <f aca="false">IF(AND(H116&lt;&gt;"",I116&lt;&gt;"",K116&lt;&gt;""),ABS(H116-I116)*K116,"")</f>
        <v/>
      </c>
      <c r="N116" s="9"/>
      <c r="O116" s="7"/>
      <c r="P116" s="9" t="str">
        <f aca="false">IF(N116&lt;&gt;"",(N116-H116)*K116*IF(E116="Buy",1,-1),"")</f>
        <v/>
      </c>
      <c r="Q116" s="10" t="str">
        <f aca="false">IF(AND(P116&lt;&gt;"",H116&lt;&gt;0,K116&lt;&gt;0),P116/(H116*K116),"")</f>
        <v/>
      </c>
      <c r="R116" s="11" t="str">
        <f aca="false">IF(AND(N116&lt;&gt;"",H116&lt;&gt;I116),IF(E116="Buy",(N116-H116)/(H116-I116),(H116-N116)/(I116-H116)),"")</f>
        <v/>
      </c>
      <c r="S116" s="7" t="str">
        <f aca="false">IF(D116="","",IF(N116&lt;&gt;"","Closed","Open"))</f>
        <v/>
      </c>
      <c r="T116" s="7"/>
    </row>
    <row r="117" customFormat="false" ht="15" hidden="false" customHeight="false" outlineLevel="0" collapsed="false">
      <c r="A117" s="7"/>
      <c r="B117" s="7"/>
      <c r="C117" s="7"/>
      <c r="D117" s="7"/>
      <c r="E117" s="7"/>
      <c r="F117" s="7"/>
      <c r="G117" s="8"/>
      <c r="H117" s="9"/>
      <c r="I117" s="9"/>
      <c r="J117" s="9"/>
      <c r="K117" s="7"/>
      <c r="L117" s="7"/>
      <c r="M117" s="9" t="str">
        <f aca="false">IF(AND(H117&lt;&gt;"",I117&lt;&gt;"",K117&lt;&gt;""),ABS(H117-I117)*K117,"")</f>
        <v/>
      </c>
      <c r="N117" s="9"/>
      <c r="O117" s="7"/>
      <c r="P117" s="9" t="str">
        <f aca="false">IF(N117&lt;&gt;"",(N117-H117)*K117*IF(E117="Buy",1,-1),"")</f>
        <v/>
      </c>
      <c r="Q117" s="10" t="str">
        <f aca="false">IF(AND(P117&lt;&gt;"",H117&lt;&gt;0,K117&lt;&gt;0),P117/(H117*K117),"")</f>
        <v/>
      </c>
      <c r="R117" s="11" t="str">
        <f aca="false">IF(AND(N117&lt;&gt;"",H117&lt;&gt;I117),IF(E117="Buy",(N117-H117)/(H117-I117),(H117-N117)/(I117-H117)),"")</f>
        <v/>
      </c>
      <c r="S117" s="7" t="str">
        <f aca="false">IF(D117="","",IF(N117&lt;&gt;"","Closed","Open"))</f>
        <v/>
      </c>
      <c r="T117" s="7"/>
    </row>
    <row r="118" customFormat="false" ht="15" hidden="false" customHeight="false" outlineLevel="0" collapsed="false">
      <c r="A118" s="7"/>
      <c r="B118" s="7"/>
      <c r="C118" s="7"/>
      <c r="D118" s="7"/>
      <c r="E118" s="7"/>
      <c r="F118" s="7"/>
      <c r="G118" s="8"/>
      <c r="H118" s="9"/>
      <c r="I118" s="9"/>
      <c r="J118" s="9"/>
      <c r="K118" s="7"/>
      <c r="L118" s="7"/>
      <c r="M118" s="9" t="str">
        <f aca="false">IF(AND(H118&lt;&gt;"",I118&lt;&gt;"",K118&lt;&gt;""),ABS(H118-I118)*K118,"")</f>
        <v/>
      </c>
      <c r="N118" s="9"/>
      <c r="O118" s="7"/>
      <c r="P118" s="9" t="str">
        <f aca="false">IF(N118&lt;&gt;"",(N118-H118)*K118*IF(E118="Buy",1,-1),"")</f>
        <v/>
      </c>
      <c r="Q118" s="10" t="str">
        <f aca="false">IF(AND(P118&lt;&gt;"",H118&lt;&gt;0,K118&lt;&gt;0),P118/(H118*K118),"")</f>
        <v/>
      </c>
      <c r="R118" s="11" t="str">
        <f aca="false">IF(AND(N118&lt;&gt;"",H118&lt;&gt;I118),IF(E118="Buy",(N118-H118)/(H118-I118),(H118-N118)/(I118-H118)),"")</f>
        <v/>
      </c>
      <c r="S118" s="7" t="str">
        <f aca="false">IF(D118="","",IF(N118&lt;&gt;"","Closed","Open"))</f>
        <v/>
      </c>
      <c r="T118" s="7"/>
    </row>
    <row r="119" customFormat="false" ht="15" hidden="false" customHeight="false" outlineLevel="0" collapsed="false">
      <c r="A119" s="7"/>
      <c r="B119" s="7"/>
      <c r="C119" s="7"/>
      <c r="D119" s="7"/>
      <c r="E119" s="7"/>
      <c r="F119" s="7"/>
      <c r="G119" s="8"/>
      <c r="H119" s="9"/>
      <c r="I119" s="9"/>
      <c r="J119" s="9"/>
      <c r="K119" s="7"/>
      <c r="L119" s="7"/>
      <c r="M119" s="9" t="str">
        <f aca="false">IF(AND(H119&lt;&gt;"",I119&lt;&gt;"",K119&lt;&gt;""),ABS(H119-I119)*K119,"")</f>
        <v/>
      </c>
      <c r="N119" s="9"/>
      <c r="O119" s="7"/>
      <c r="P119" s="9" t="str">
        <f aca="false">IF(N119&lt;&gt;"",(N119-H119)*K119*IF(E119="Buy",1,-1),"")</f>
        <v/>
      </c>
      <c r="Q119" s="10" t="str">
        <f aca="false">IF(AND(P119&lt;&gt;"",H119&lt;&gt;0,K119&lt;&gt;0),P119/(H119*K119),"")</f>
        <v/>
      </c>
      <c r="R119" s="11" t="str">
        <f aca="false">IF(AND(N119&lt;&gt;"",H119&lt;&gt;I119),IF(E119="Buy",(N119-H119)/(H119-I119),(H119-N119)/(I119-H119)),"")</f>
        <v/>
      </c>
      <c r="S119" s="7" t="str">
        <f aca="false">IF(D119="","",IF(N119&lt;&gt;"","Closed","Open"))</f>
        <v/>
      </c>
      <c r="T119" s="7"/>
    </row>
    <row r="120" customFormat="false" ht="15" hidden="false" customHeight="false" outlineLevel="0" collapsed="false">
      <c r="A120" s="7"/>
      <c r="B120" s="7"/>
      <c r="C120" s="7"/>
      <c r="D120" s="7"/>
      <c r="E120" s="7"/>
      <c r="F120" s="7"/>
      <c r="G120" s="8"/>
      <c r="H120" s="9"/>
      <c r="I120" s="9"/>
      <c r="J120" s="9"/>
      <c r="K120" s="7"/>
      <c r="L120" s="7"/>
      <c r="M120" s="9" t="str">
        <f aca="false">IF(AND(H120&lt;&gt;"",I120&lt;&gt;"",K120&lt;&gt;""),ABS(H120-I120)*K120,"")</f>
        <v/>
      </c>
      <c r="N120" s="9"/>
      <c r="O120" s="7"/>
      <c r="P120" s="9" t="str">
        <f aca="false">IF(N120&lt;&gt;"",(N120-H120)*K120*IF(E120="Buy",1,-1),"")</f>
        <v/>
      </c>
      <c r="Q120" s="10" t="str">
        <f aca="false">IF(AND(P120&lt;&gt;"",H120&lt;&gt;0,K120&lt;&gt;0),P120/(H120*K120),"")</f>
        <v/>
      </c>
      <c r="R120" s="11" t="str">
        <f aca="false">IF(AND(N120&lt;&gt;"",H120&lt;&gt;I120),IF(E120="Buy",(N120-H120)/(H120-I120),(H120-N120)/(I120-H120)),"")</f>
        <v/>
      </c>
      <c r="S120" s="7" t="str">
        <f aca="false">IF(D120="","",IF(N120&lt;&gt;"","Closed","Open"))</f>
        <v/>
      </c>
      <c r="T120" s="7"/>
    </row>
    <row r="121" customFormat="false" ht="15" hidden="false" customHeight="false" outlineLevel="0" collapsed="false">
      <c r="A121" s="7"/>
      <c r="B121" s="7"/>
      <c r="C121" s="7"/>
      <c r="D121" s="7"/>
      <c r="E121" s="7"/>
      <c r="F121" s="7"/>
      <c r="G121" s="8"/>
      <c r="H121" s="9"/>
      <c r="I121" s="9"/>
      <c r="J121" s="9"/>
      <c r="K121" s="7"/>
      <c r="L121" s="7"/>
      <c r="M121" s="9" t="str">
        <f aca="false">IF(AND(H121&lt;&gt;"",I121&lt;&gt;"",K121&lt;&gt;""),ABS(H121-I121)*K121,"")</f>
        <v/>
      </c>
      <c r="N121" s="9"/>
      <c r="O121" s="7"/>
      <c r="P121" s="9" t="str">
        <f aca="false">IF(N121&lt;&gt;"",(N121-H121)*K121*IF(E121="Buy",1,-1),"")</f>
        <v/>
      </c>
      <c r="Q121" s="10" t="str">
        <f aca="false">IF(AND(P121&lt;&gt;"",H121&lt;&gt;0,K121&lt;&gt;0),P121/(H121*K121),"")</f>
        <v/>
      </c>
      <c r="R121" s="11" t="str">
        <f aca="false">IF(AND(N121&lt;&gt;"",H121&lt;&gt;I121),IF(E121="Buy",(N121-H121)/(H121-I121),(H121-N121)/(I121-H121)),"")</f>
        <v/>
      </c>
      <c r="S121" s="7" t="str">
        <f aca="false">IF(D121="","",IF(N121&lt;&gt;"","Closed","Open"))</f>
        <v/>
      </c>
      <c r="T121" s="7"/>
    </row>
    <row r="122" customFormat="false" ht="15" hidden="false" customHeight="false" outlineLevel="0" collapsed="false">
      <c r="A122" s="7"/>
      <c r="B122" s="7"/>
      <c r="C122" s="7"/>
      <c r="D122" s="7"/>
      <c r="E122" s="7"/>
      <c r="F122" s="7"/>
      <c r="G122" s="8"/>
      <c r="H122" s="9"/>
      <c r="I122" s="9"/>
      <c r="J122" s="9"/>
      <c r="K122" s="7"/>
      <c r="L122" s="7"/>
      <c r="M122" s="9" t="str">
        <f aca="false">IF(AND(H122&lt;&gt;"",I122&lt;&gt;"",K122&lt;&gt;""),ABS(H122-I122)*K122,"")</f>
        <v/>
      </c>
      <c r="N122" s="9"/>
      <c r="O122" s="7"/>
      <c r="P122" s="9" t="str">
        <f aca="false">IF(N122&lt;&gt;"",(N122-H122)*K122*IF(E122="Buy",1,-1),"")</f>
        <v/>
      </c>
      <c r="Q122" s="10" t="str">
        <f aca="false">IF(AND(P122&lt;&gt;"",H122&lt;&gt;0,K122&lt;&gt;0),P122/(H122*K122),"")</f>
        <v/>
      </c>
      <c r="R122" s="11" t="str">
        <f aca="false">IF(AND(N122&lt;&gt;"",H122&lt;&gt;I122),IF(E122="Buy",(N122-H122)/(H122-I122),(H122-N122)/(I122-H122)),"")</f>
        <v/>
      </c>
      <c r="S122" s="7" t="str">
        <f aca="false">IF(D122="","",IF(N122&lt;&gt;"","Closed","Open"))</f>
        <v/>
      </c>
      <c r="T122" s="7"/>
    </row>
    <row r="123" customFormat="false" ht="15" hidden="false" customHeight="false" outlineLevel="0" collapsed="false">
      <c r="A123" s="7"/>
      <c r="B123" s="7"/>
      <c r="C123" s="7"/>
      <c r="D123" s="7"/>
      <c r="E123" s="7"/>
      <c r="F123" s="7"/>
      <c r="G123" s="8"/>
      <c r="H123" s="9"/>
      <c r="I123" s="9"/>
      <c r="J123" s="9"/>
      <c r="K123" s="7"/>
      <c r="L123" s="7"/>
      <c r="M123" s="9" t="str">
        <f aca="false">IF(AND(H123&lt;&gt;"",I123&lt;&gt;"",K123&lt;&gt;""),ABS(H123-I123)*K123,"")</f>
        <v/>
      </c>
      <c r="N123" s="9"/>
      <c r="O123" s="7"/>
      <c r="P123" s="9" t="str">
        <f aca="false">IF(N123&lt;&gt;"",(N123-H123)*K123*IF(E123="Buy",1,-1),"")</f>
        <v/>
      </c>
      <c r="Q123" s="10" t="str">
        <f aca="false">IF(AND(P123&lt;&gt;"",H123&lt;&gt;0,K123&lt;&gt;0),P123/(H123*K123),"")</f>
        <v/>
      </c>
      <c r="R123" s="11" t="str">
        <f aca="false">IF(AND(N123&lt;&gt;"",H123&lt;&gt;I123),IF(E123="Buy",(N123-H123)/(H123-I123),(H123-N123)/(I123-H123)),"")</f>
        <v/>
      </c>
      <c r="S123" s="7" t="str">
        <f aca="false">IF(D123="","",IF(N123&lt;&gt;"","Closed","Open"))</f>
        <v/>
      </c>
      <c r="T123" s="7"/>
    </row>
    <row r="124" customFormat="false" ht="15" hidden="false" customHeight="false" outlineLevel="0" collapsed="false">
      <c r="A124" s="7"/>
      <c r="B124" s="7"/>
      <c r="C124" s="7"/>
      <c r="D124" s="7"/>
      <c r="E124" s="7"/>
      <c r="F124" s="7"/>
      <c r="G124" s="8"/>
      <c r="H124" s="9"/>
      <c r="I124" s="9"/>
      <c r="J124" s="9"/>
      <c r="K124" s="7"/>
      <c r="L124" s="7"/>
      <c r="M124" s="9" t="str">
        <f aca="false">IF(AND(H124&lt;&gt;"",I124&lt;&gt;"",K124&lt;&gt;""),ABS(H124-I124)*K124,"")</f>
        <v/>
      </c>
      <c r="N124" s="9"/>
      <c r="O124" s="7"/>
      <c r="P124" s="9" t="str">
        <f aca="false">IF(N124&lt;&gt;"",(N124-H124)*K124*IF(E124="Buy",1,-1),"")</f>
        <v/>
      </c>
      <c r="Q124" s="10" t="str">
        <f aca="false">IF(AND(P124&lt;&gt;"",H124&lt;&gt;0,K124&lt;&gt;0),P124/(H124*K124),"")</f>
        <v/>
      </c>
      <c r="R124" s="11" t="str">
        <f aca="false">IF(AND(N124&lt;&gt;"",H124&lt;&gt;I124),IF(E124="Buy",(N124-H124)/(H124-I124),(H124-N124)/(I124-H124)),"")</f>
        <v/>
      </c>
      <c r="S124" s="7" t="str">
        <f aca="false">IF(D124="","",IF(N124&lt;&gt;"","Closed","Open"))</f>
        <v/>
      </c>
      <c r="T124" s="7"/>
    </row>
    <row r="125" customFormat="false" ht="15" hidden="false" customHeight="false" outlineLevel="0" collapsed="false">
      <c r="A125" s="7"/>
      <c r="B125" s="7"/>
      <c r="C125" s="7"/>
      <c r="D125" s="7"/>
      <c r="E125" s="7"/>
      <c r="F125" s="7"/>
      <c r="G125" s="8"/>
      <c r="H125" s="9"/>
      <c r="I125" s="9"/>
      <c r="J125" s="9"/>
      <c r="K125" s="7"/>
      <c r="L125" s="7"/>
      <c r="M125" s="9" t="str">
        <f aca="false">IF(AND(H125&lt;&gt;"",I125&lt;&gt;"",K125&lt;&gt;""),ABS(H125-I125)*K125,"")</f>
        <v/>
      </c>
      <c r="N125" s="9"/>
      <c r="O125" s="7"/>
      <c r="P125" s="9" t="str">
        <f aca="false">IF(N125&lt;&gt;"",(N125-H125)*K125*IF(E125="Buy",1,-1),"")</f>
        <v/>
      </c>
      <c r="Q125" s="10" t="str">
        <f aca="false">IF(AND(P125&lt;&gt;"",H125&lt;&gt;0,K125&lt;&gt;0),P125/(H125*K125),"")</f>
        <v/>
      </c>
      <c r="R125" s="11" t="str">
        <f aca="false">IF(AND(N125&lt;&gt;"",H125&lt;&gt;I125),IF(E125="Buy",(N125-H125)/(H125-I125),(H125-N125)/(I125-H125)),"")</f>
        <v/>
      </c>
      <c r="S125" s="7" t="str">
        <f aca="false">IF(D125="","",IF(N125&lt;&gt;"","Closed","Open"))</f>
        <v/>
      </c>
      <c r="T125" s="7"/>
    </row>
    <row r="126" customFormat="false" ht="15" hidden="false" customHeight="false" outlineLevel="0" collapsed="false">
      <c r="A126" s="7"/>
      <c r="B126" s="7"/>
      <c r="C126" s="7"/>
      <c r="D126" s="7"/>
      <c r="E126" s="7"/>
      <c r="F126" s="7"/>
      <c r="G126" s="8"/>
      <c r="H126" s="9"/>
      <c r="I126" s="9"/>
      <c r="J126" s="9"/>
      <c r="K126" s="7"/>
      <c r="L126" s="7"/>
      <c r="M126" s="9" t="str">
        <f aca="false">IF(AND(H126&lt;&gt;"",I126&lt;&gt;"",K126&lt;&gt;""),ABS(H126-I126)*K126,"")</f>
        <v/>
      </c>
      <c r="N126" s="9"/>
      <c r="O126" s="7"/>
      <c r="P126" s="9" t="str">
        <f aca="false">IF(N126&lt;&gt;"",(N126-H126)*K126*IF(E126="Buy",1,-1),"")</f>
        <v/>
      </c>
      <c r="Q126" s="10" t="str">
        <f aca="false">IF(AND(P126&lt;&gt;"",H126&lt;&gt;0,K126&lt;&gt;0),P126/(H126*K126),"")</f>
        <v/>
      </c>
      <c r="R126" s="11" t="str">
        <f aca="false">IF(AND(N126&lt;&gt;"",H126&lt;&gt;I126),IF(E126="Buy",(N126-H126)/(H126-I126),(H126-N126)/(I126-H126)),"")</f>
        <v/>
      </c>
      <c r="S126" s="7" t="str">
        <f aca="false">IF(D126="","",IF(N126&lt;&gt;"","Closed","Open"))</f>
        <v/>
      </c>
      <c r="T126" s="7"/>
    </row>
    <row r="127" customFormat="false" ht="15" hidden="false" customHeight="false" outlineLevel="0" collapsed="false">
      <c r="A127" s="7"/>
      <c r="B127" s="7"/>
      <c r="C127" s="7"/>
      <c r="D127" s="7"/>
      <c r="E127" s="7"/>
      <c r="F127" s="7"/>
      <c r="G127" s="8"/>
      <c r="H127" s="9"/>
      <c r="I127" s="9"/>
      <c r="J127" s="9"/>
      <c r="K127" s="7"/>
      <c r="L127" s="7"/>
      <c r="M127" s="9" t="str">
        <f aca="false">IF(AND(H127&lt;&gt;"",I127&lt;&gt;"",K127&lt;&gt;""),ABS(H127-I127)*K127,"")</f>
        <v/>
      </c>
      <c r="N127" s="9"/>
      <c r="O127" s="7"/>
      <c r="P127" s="9" t="str">
        <f aca="false">IF(N127&lt;&gt;"",(N127-H127)*K127*IF(E127="Buy",1,-1),"")</f>
        <v/>
      </c>
      <c r="Q127" s="10" t="str">
        <f aca="false">IF(AND(P127&lt;&gt;"",H127&lt;&gt;0,K127&lt;&gt;0),P127/(H127*K127),"")</f>
        <v/>
      </c>
      <c r="R127" s="11" t="str">
        <f aca="false">IF(AND(N127&lt;&gt;"",H127&lt;&gt;I127),IF(E127="Buy",(N127-H127)/(H127-I127),(H127-N127)/(I127-H127)),"")</f>
        <v/>
      </c>
      <c r="S127" s="7" t="str">
        <f aca="false">IF(D127="","",IF(N127&lt;&gt;"","Closed","Open"))</f>
        <v/>
      </c>
      <c r="T127" s="7"/>
    </row>
    <row r="128" customFormat="false" ht="15" hidden="false" customHeight="false" outlineLevel="0" collapsed="false">
      <c r="A128" s="7"/>
      <c r="B128" s="7"/>
      <c r="C128" s="7"/>
      <c r="D128" s="7"/>
      <c r="E128" s="7"/>
      <c r="F128" s="7"/>
      <c r="G128" s="8"/>
      <c r="H128" s="9"/>
      <c r="I128" s="9"/>
      <c r="J128" s="9"/>
      <c r="K128" s="7"/>
      <c r="L128" s="7"/>
      <c r="M128" s="9" t="str">
        <f aca="false">IF(AND(H128&lt;&gt;"",I128&lt;&gt;"",K128&lt;&gt;""),ABS(H128-I128)*K128,"")</f>
        <v/>
      </c>
      <c r="N128" s="9"/>
      <c r="O128" s="7"/>
      <c r="P128" s="9" t="str">
        <f aca="false">IF(N128&lt;&gt;"",(N128-H128)*K128*IF(E128="Buy",1,-1),"")</f>
        <v/>
      </c>
      <c r="Q128" s="10" t="str">
        <f aca="false">IF(AND(P128&lt;&gt;"",H128&lt;&gt;0,K128&lt;&gt;0),P128/(H128*K128),"")</f>
        <v/>
      </c>
      <c r="R128" s="11" t="str">
        <f aca="false">IF(AND(N128&lt;&gt;"",H128&lt;&gt;I128),IF(E128="Buy",(N128-H128)/(H128-I128),(H128-N128)/(I128-H128)),"")</f>
        <v/>
      </c>
      <c r="S128" s="7" t="str">
        <f aca="false">IF(D128="","",IF(N128&lt;&gt;"","Closed","Open"))</f>
        <v/>
      </c>
      <c r="T128" s="7"/>
    </row>
    <row r="129" customFormat="false" ht="15" hidden="false" customHeight="false" outlineLevel="0" collapsed="false">
      <c r="A129" s="7"/>
      <c r="B129" s="7"/>
      <c r="C129" s="7"/>
      <c r="D129" s="7"/>
      <c r="E129" s="7"/>
      <c r="F129" s="7"/>
      <c r="G129" s="8"/>
      <c r="H129" s="9"/>
      <c r="I129" s="9"/>
      <c r="J129" s="9"/>
      <c r="K129" s="7"/>
      <c r="L129" s="7"/>
      <c r="M129" s="9" t="str">
        <f aca="false">IF(AND(H129&lt;&gt;"",I129&lt;&gt;"",K129&lt;&gt;""),ABS(H129-I129)*K129,"")</f>
        <v/>
      </c>
      <c r="N129" s="9"/>
      <c r="O129" s="7"/>
      <c r="P129" s="9" t="str">
        <f aca="false">IF(N129&lt;&gt;"",(N129-H129)*K129*IF(E129="Buy",1,-1),"")</f>
        <v/>
      </c>
      <c r="Q129" s="10" t="str">
        <f aca="false">IF(AND(P129&lt;&gt;"",H129&lt;&gt;0,K129&lt;&gt;0),P129/(H129*K129),"")</f>
        <v/>
      </c>
      <c r="R129" s="11" t="str">
        <f aca="false">IF(AND(N129&lt;&gt;"",H129&lt;&gt;I129),IF(E129="Buy",(N129-H129)/(H129-I129),(H129-N129)/(I129-H129)),"")</f>
        <v/>
      </c>
      <c r="S129" s="7" t="str">
        <f aca="false">IF(D129="","",IF(N129&lt;&gt;"","Closed","Open"))</f>
        <v/>
      </c>
      <c r="T129" s="7"/>
    </row>
    <row r="130" customFormat="false" ht="15" hidden="false" customHeight="false" outlineLevel="0" collapsed="false">
      <c r="A130" s="7"/>
      <c r="B130" s="7"/>
      <c r="C130" s="7"/>
      <c r="D130" s="7"/>
      <c r="E130" s="7"/>
      <c r="F130" s="7"/>
      <c r="G130" s="8"/>
      <c r="H130" s="9"/>
      <c r="I130" s="9"/>
      <c r="J130" s="9"/>
      <c r="K130" s="7"/>
      <c r="L130" s="7"/>
      <c r="M130" s="9" t="str">
        <f aca="false">IF(AND(H130&lt;&gt;"",I130&lt;&gt;"",K130&lt;&gt;""),ABS(H130-I130)*K130,"")</f>
        <v/>
      </c>
      <c r="N130" s="9"/>
      <c r="O130" s="7"/>
      <c r="P130" s="9" t="str">
        <f aca="false">IF(N130&lt;&gt;"",(N130-H130)*K130*IF(E130="Buy",1,-1),"")</f>
        <v/>
      </c>
      <c r="Q130" s="10" t="str">
        <f aca="false">IF(AND(P130&lt;&gt;"",H130&lt;&gt;0,K130&lt;&gt;0),P130/(H130*K130),"")</f>
        <v/>
      </c>
      <c r="R130" s="11" t="str">
        <f aca="false">IF(AND(N130&lt;&gt;"",H130&lt;&gt;I130),IF(E130="Buy",(N130-H130)/(H130-I130),(H130-N130)/(I130-H130)),"")</f>
        <v/>
      </c>
      <c r="S130" s="7" t="str">
        <f aca="false">IF(D130="","",IF(N130&lt;&gt;"","Closed","Open"))</f>
        <v/>
      </c>
      <c r="T130" s="7"/>
    </row>
    <row r="131" customFormat="false" ht="15" hidden="false" customHeight="false" outlineLevel="0" collapsed="false">
      <c r="A131" s="7"/>
      <c r="B131" s="7"/>
      <c r="C131" s="7"/>
      <c r="D131" s="7"/>
      <c r="E131" s="7"/>
      <c r="F131" s="7"/>
      <c r="G131" s="8"/>
      <c r="H131" s="9"/>
      <c r="I131" s="9"/>
      <c r="J131" s="9"/>
      <c r="K131" s="7"/>
      <c r="L131" s="7"/>
      <c r="M131" s="9" t="str">
        <f aca="false">IF(AND(H131&lt;&gt;"",I131&lt;&gt;"",K131&lt;&gt;""),ABS(H131-I131)*K131,"")</f>
        <v/>
      </c>
      <c r="N131" s="9"/>
      <c r="O131" s="7"/>
      <c r="P131" s="9" t="str">
        <f aca="false">IF(N131&lt;&gt;"",(N131-H131)*K131*IF(E131="Buy",1,-1),"")</f>
        <v/>
      </c>
      <c r="Q131" s="10" t="str">
        <f aca="false">IF(AND(P131&lt;&gt;"",H131&lt;&gt;0,K131&lt;&gt;0),P131/(H131*K131),"")</f>
        <v/>
      </c>
      <c r="R131" s="11" t="str">
        <f aca="false">IF(AND(N131&lt;&gt;"",H131&lt;&gt;I131),IF(E131="Buy",(N131-H131)/(H131-I131),(H131-N131)/(I131-H131)),"")</f>
        <v/>
      </c>
      <c r="S131" s="7" t="str">
        <f aca="false">IF(D131="","",IF(N131&lt;&gt;"","Closed","Open"))</f>
        <v/>
      </c>
      <c r="T131" s="7"/>
    </row>
    <row r="132" customFormat="false" ht="15" hidden="false" customHeight="false" outlineLevel="0" collapsed="false">
      <c r="A132" s="7"/>
      <c r="B132" s="7"/>
      <c r="C132" s="7"/>
      <c r="D132" s="7"/>
      <c r="E132" s="7"/>
      <c r="F132" s="7"/>
      <c r="G132" s="8"/>
      <c r="H132" s="9"/>
      <c r="I132" s="9"/>
      <c r="J132" s="9"/>
      <c r="K132" s="7"/>
      <c r="L132" s="7"/>
      <c r="M132" s="9" t="str">
        <f aca="false">IF(AND(H132&lt;&gt;"",I132&lt;&gt;"",K132&lt;&gt;""),ABS(H132-I132)*K132,"")</f>
        <v/>
      </c>
      <c r="N132" s="9"/>
      <c r="O132" s="7"/>
      <c r="P132" s="9" t="str">
        <f aca="false">IF(N132&lt;&gt;"",(N132-H132)*K132*IF(E132="Buy",1,-1),"")</f>
        <v/>
      </c>
      <c r="Q132" s="10" t="str">
        <f aca="false">IF(AND(P132&lt;&gt;"",H132&lt;&gt;0,K132&lt;&gt;0),P132/(H132*K132),"")</f>
        <v/>
      </c>
      <c r="R132" s="11" t="str">
        <f aca="false">IF(AND(N132&lt;&gt;"",H132&lt;&gt;I132),IF(E132="Buy",(N132-H132)/(H132-I132),(H132-N132)/(I132-H132)),"")</f>
        <v/>
      </c>
      <c r="S132" s="7" t="str">
        <f aca="false">IF(D132="","",IF(N132&lt;&gt;"","Closed","Open"))</f>
        <v/>
      </c>
      <c r="T132" s="7"/>
    </row>
    <row r="133" customFormat="false" ht="15" hidden="false" customHeight="false" outlineLevel="0" collapsed="false">
      <c r="A133" s="7"/>
      <c r="B133" s="7"/>
      <c r="C133" s="7"/>
      <c r="D133" s="7"/>
      <c r="E133" s="7"/>
      <c r="F133" s="7"/>
      <c r="G133" s="8"/>
      <c r="H133" s="9"/>
      <c r="I133" s="9"/>
      <c r="J133" s="9"/>
      <c r="K133" s="7"/>
      <c r="L133" s="7"/>
      <c r="M133" s="9" t="str">
        <f aca="false">IF(AND(H133&lt;&gt;"",I133&lt;&gt;"",K133&lt;&gt;""),ABS(H133-I133)*K133,"")</f>
        <v/>
      </c>
      <c r="N133" s="9"/>
      <c r="O133" s="7"/>
      <c r="P133" s="9" t="str">
        <f aca="false">IF(N133&lt;&gt;"",(N133-H133)*K133*IF(E133="Buy",1,-1),"")</f>
        <v/>
      </c>
      <c r="Q133" s="10" t="str">
        <f aca="false">IF(AND(P133&lt;&gt;"",H133&lt;&gt;0,K133&lt;&gt;0),P133/(H133*K133),"")</f>
        <v/>
      </c>
      <c r="R133" s="11" t="str">
        <f aca="false">IF(AND(N133&lt;&gt;"",H133&lt;&gt;I133),IF(E133="Buy",(N133-H133)/(H133-I133),(H133-N133)/(I133-H133)),"")</f>
        <v/>
      </c>
      <c r="S133" s="7" t="str">
        <f aca="false">IF(D133="","",IF(N133&lt;&gt;"","Closed","Open"))</f>
        <v/>
      </c>
      <c r="T133" s="7"/>
    </row>
    <row r="134" customFormat="false" ht="15" hidden="false" customHeight="false" outlineLevel="0" collapsed="false">
      <c r="A134" s="7"/>
      <c r="B134" s="7"/>
      <c r="C134" s="7"/>
      <c r="D134" s="7"/>
      <c r="E134" s="7"/>
      <c r="F134" s="7"/>
      <c r="G134" s="8"/>
      <c r="H134" s="9"/>
      <c r="I134" s="9"/>
      <c r="J134" s="9"/>
      <c r="K134" s="7"/>
      <c r="L134" s="7"/>
      <c r="M134" s="9" t="str">
        <f aca="false">IF(AND(H134&lt;&gt;"",I134&lt;&gt;"",K134&lt;&gt;""),ABS(H134-I134)*K134,"")</f>
        <v/>
      </c>
      <c r="N134" s="9"/>
      <c r="O134" s="7"/>
      <c r="P134" s="9" t="str">
        <f aca="false">IF(N134&lt;&gt;"",(N134-H134)*K134*IF(E134="Buy",1,-1),"")</f>
        <v/>
      </c>
      <c r="Q134" s="10" t="str">
        <f aca="false">IF(AND(P134&lt;&gt;"",H134&lt;&gt;0,K134&lt;&gt;0),P134/(H134*K134),"")</f>
        <v/>
      </c>
      <c r="R134" s="11" t="str">
        <f aca="false">IF(AND(N134&lt;&gt;"",H134&lt;&gt;I134),IF(E134="Buy",(N134-H134)/(H134-I134),(H134-N134)/(I134-H134)),"")</f>
        <v/>
      </c>
      <c r="S134" s="7" t="str">
        <f aca="false">IF(D134="","",IF(N134&lt;&gt;"","Closed","Open"))</f>
        <v/>
      </c>
      <c r="T134" s="7"/>
    </row>
    <row r="135" customFormat="false" ht="15" hidden="false" customHeight="false" outlineLevel="0" collapsed="false">
      <c r="A135" s="7"/>
      <c r="B135" s="7"/>
      <c r="C135" s="7"/>
      <c r="D135" s="7"/>
      <c r="E135" s="7"/>
      <c r="F135" s="7"/>
      <c r="G135" s="8"/>
      <c r="H135" s="9"/>
      <c r="I135" s="9"/>
      <c r="J135" s="9"/>
      <c r="K135" s="7"/>
      <c r="L135" s="7"/>
      <c r="M135" s="9" t="str">
        <f aca="false">IF(AND(H135&lt;&gt;"",I135&lt;&gt;"",K135&lt;&gt;""),ABS(H135-I135)*K135,"")</f>
        <v/>
      </c>
      <c r="N135" s="9"/>
      <c r="O135" s="7"/>
      <c r="P135" s="9" t="str">
        <f aca="false">IF(N135&lt;&gt;"",(N135-H135)*K135*IF(E135="Buy",1,-1),"")</f>
        <v/>
      </c>
      <c r="Q135" s="10" t="str">
        <f aca="false">IF(AND(P135&lt;&gt;"",H135&lt;&gt;0,K135&lt;&gt;0),P135/(H135*K135),"")</f>
        <v/>
      </c>
      <c r="R135" s="11" t="str">
        <f aca="false">IF(AND(N135&lt;&gt;"",H135&lt;&gt;I135),IF(E135="Buy",(N135-H135)/(H135-I135),(H135-N135)/(I135-H135)),"")</f>
        <v/>
      </c>
      <c r="S135" s="7" t="str">
        <f aca="false">IF(D135="","",IF(N135&lt;&gt;"","Closed","Open"))</f>
        <v/>
      </c>
      <c r="T135" s="7"/>
    </row>
    <row r="136" customFormat="false" ht="15" hidden="false" customHeight="false" outlineLevel="0" collapsed="false">
      <c r="A136" s="7"/>
      <c r="B136" s="7"/>
      <c r="C136" s="7"/>
      <c r="D136" s="7"/>
      <c r="E136" s="7"/>
      <c r="F136" s="7"/>
      <c r="G136" s="8"/>
      <c r="H136" s="9"/>
      <c r="I136" s="9"/>
      <c r="J136" s="9"/>
      <c r="K136" s="7"/>
      <c r="L136" s="7"/>
      <c r="M136" s="9" t="str">
        <f aca="false">IF(AND(H136&lt;&gt;"",I136&lt;&gt;"",K136&lt;&gt;""),ABS(H136-I136)*K136,"")</f>
        <v/>
      </c>
      <c r="N136" s="9"/>
      <c r="O136" s="7"/>
      <c r="P136" s="9" t="str">
        <f aca="false">IF(N136&lt;&gt;"",(N136-H136)*K136*IF(E136="Buy",1,-1),"")</f>
        <v/>
      </c>
      <c r="Q136" s="10" t="str">
        <f aca="false">IF(AND(P136&lt;&gt;"",H136&lt;&gt;0,K136&lt;&gt;0),P136/(H136*K136),"")</f>
        <v/>
      </c>
      <c r="R136" s="11" t="str">
        <f aca="false">IF(AND(N136&lt;&gt;"",H136&lt;&gt;I136),IF(E136="Buy",(N136-H136)/(H136-I136),(H136-N136)/(I136-H136)),"")</f>
        <v/>
      </c>
      <c r="S136" s="7" t="str">
        <f aca="false">IF(D136="","",IF(N136&lt;&gt;"","Closed","Open"))</f>
        <v/>
      </c>
      <c r="T136" s="7"/>
    </row>
    <row r="137" customFormat="false" ht="15" hidden="false" customHeight="false" outlineLevel="0" collapsed="false">
      <c r="A137" s="7"/>
      <c r="B137" s="7"/>
      <c r="C137" s="7"/>
      <c r="D137" s="7"/>
      <c r="E137" s="7"/>
      <c r="F137" s="7"/>
      <c r="G137" s="8"/>
      <c r="H137" s="9"/>
      <c r="I137" s="9"/>
      <c r="J137" s="9"/>
      <c r="K137" s="7"/>
      <c r="L137" s="7"/>
      <c r="M137" s="9" t="str">
        <f aca="false">IF(AND(H137&lt;&gt;"",I137&lt;&gt;"",K137&lt;&gt;""),ABS(H137-I137)*K137,"")</f>
        <v/>
      </c>
      <c r="N137" s="9"/>
      <c r="O137" s="7"/>
      <c r="P137" s="9" t="str">
        <f aca="false">IF(N137&lt;&gt;"",(N137-H137)*K137*IF(E137="Buy",1,-1),"")</f>
        <v/>
      </c>
      <c r="Q137" s="10" t="str">
        <f aca="false">IF(AND(P137&lt;&gt;"",H137&lt;&gt;0,K137&lt;&gt;0),P137/(H137*K137),"")</f>
        <v/>
      </c>
      <c r="R137" s="11" t="str">
        <f aca="false">IF(AND(N137&lt;&gt;"",H137&lt;&gt;I137),IF(E137="Buy",(N137-H137)/(H137-I137),(H137-N137)/(I137-H137)),"")</f>
        <v/>
      </c>
      <c r="S137" s="7" t="str">
        <f aca="false">IF(D137="","",IF(N137&lt;&gt;"","Closed","Open"))</f>
        <v/>
      </c>
      <c r="T137" s="7"/>
    </row>
    <row r="138" customFormat="false" ht="15" hidden="false" customHeight="false" outlineLevel="0" collapsed="false">
      <c r="A138" s="7"/>
      <c r="B138" s="7"/>
      <c r="C138" s="7"/>
      <c r="D138" s="7"/>
      <c r="E138" s="7"/>
      <c r="F138" s="7"/>
      <c r="G138" s="8"/>
      <c r="H138" s="9"/>
      <c r="I138" s="9"/>
      <c r="J138" s="9"/>
      <c r="K138" s="7"/>
      <c r="L138" s="7"/>
      <c r="M138" s="9" t="str">
        <f aca="false">IF(AND(H138&lt;&gt;"",I138&lt;&gt;"",K138&lt;&gt;""),ABS(H138-I138)*K138,"")</f>
        <v/>
      </c>
      <c r="N138" s="9"/>
      <c r="O138" s="7"/>
      <c r="P138" s="9" t="str">
        <f aca="false">IF(N138&lt;&gt;"",(N138-H138)*K138*IF(E138="Buy",1,-1),"")</f>
        <v/>
      </c>
      <c r="Q138" s="10" t="str">
        <f aca="false">IF(AND(P138&lt;&gt;"",H138&lt;&gt;0,K138&lt;&gt;0),P138/(H138*K138),"")</f>
        <v/>
      </c>
      <c r="R138" s="11" t="str">
        <f aca="false">IF(AND(N138&lt;&gt;"",H138&lt;&gt;I138),IF(E138="Buy",(N138-H138)/(H138-I138),(H138-N138)/(I138-H138)),"")</f>
        <v/>
      </c>
      <c r="S138" s="7" t="str">
        <f aca="false">IF(D138="","",IF(N138&lt;&gt;"","Closed","Open"))</f>
        <v/>
      </c>
      <c r="T138" s="7"/>
    </row>
    <row r="139" customFormat="false" ht="15" hidden="false" customHeight="false" outlineLevel="0" collapsed="false">
      <c r="A139" s="7"/>
      <c r="B139" s="7"/>
      <c r="C139" s="7"/>
      <c r="D139" s="7"/>
      <c r="E139" s="7"/>
      <c r="F139" s="7"/>
      <c r="G139" s="8"/>
      <c r="H139" s="9"/>
      <c r="I139" s="9"/>
      <c r="J139" s="9"/>
      <c r="K139" s="7"/>
      <c r="L139" s="7"/>
      <c r="M139" s="9" t="str">
        <f aca="false">IF(AND(H139&lt;&gt;"",I139&lt;&gt;"",K139&lt;&gt;""),ABS(H139-I139)*K139,"")</f>
        <v/>
      </c>
      <c r="N139" s="9"/>
      <c r="O139" s="7"/>
      <c r="P139" s="9" t="str">
        <f aca="false">IF(N139&lt;&gt;"",(N139-H139)*K139*IF(E139="Buy",1,-1),"")</f>
        <v/>
      </c>
      <c r="Q139" s="10" t="str">
        <f aca="false">IF(AND(P139&lt;&gt;"",H139&lt;&gt;0,K139&lt;&gt;0),P139/(H139*K139),"")</f>
        <v/>
      </c>
      <c r="R139" s="11" t="str">
        <f aca="false">IF(AND(N139&lt;&gt;"",H139&lt;&gt;I139),IF(E139="Buy",(N139-H139)/(H139-I139),(H139-N139)/(I139-H139)),"")</f>
        <v/>
      </c>
      <c r="S139" s="7" t="str">
        <f aca="false">IF(D139="","",IF(N139&lt;&gt;"","Closed","Open"))</f>
        <v/>
      </c>
      <c r="T139" s="7"/>
    </row>
    <row r="140" customFormat="false" ht="15" hidden="false" customHeight="false" outlineLevel="0" collapsed="false">
      <c r="A140" s="7"/>
      <c r="B140" s="7"/>
      <c r="C140" s="7"/>
      <c r="D140" s="7"/>
      <c r="E140" s="7"/>
      <c r="F140" s="7"/>
      <c r="G140" s="8"/>
      <c r="H140" s="9"/>
      <c r="I140" s="9"/>
      <c r="J140" s="9"/>
      <c r="K140" s="7"/>
      <c r="L140" s="7"/>
      <c r="M140" s="9" t="str">
        <f aca="false">IF(AND(H140&lt;&gt;"",I140&lt;&gt;"",K140&lt;&gt;""),ABS(H140-I140)*K140,"")</f>
        <v/>
      </c>
      <c r="N140" s="9"/>
      <c r="O140" s="7"/>
      <c r="P140" s="9" t="str">
        <f aca="false">IF(N140&lt;&gt;"",(N140-H140)*K140*IF(E140="Buy",1,-1),"")</f>
        <v/>
      </c>
      <c r="Q140" s="10" t="str">
        <f aca="false">IF(AND(P140&lt;&gt;"",H140&lt;&gt;0,K140&lt;&gt;0),P140/(H140*K140),"")</f>
        <v/>
      </c>
      <c r="R140" s="11" t="str">
        <f aca="false">IF(AND(N140&lt;&gt;"",H140&lt;&gt;I140),IF(E140="Buy",(N140-H140)/(H140-I140),(H140-N140)/(I140-H140)),"")</f>
        <v/>
      </c>
      <c r="S140" s="7" t="str">
        <f aca="false">IF(D140="","",IF(N140&lt;&gt;"","Closed","Open"))</f>
        <v/>
      </c>
      <c r="T140" s="7"/>
    </row>
    <row r="141" customFormat="false" ht="15" hidden="false" customHeight="false" outlineLevel="0" collapsed="false">
      <c r="A141" s="7"/>
      <c r="B141" s="7"/>
      <c r="C141" s="7"/>
      <c r="D141" s="7"/>
      <c r="E141" s="7"/>
      <c r="F141" s="7"/>
      <c r="G141" s="8"/>
      <c r="H141" s="9"/>
      <c r="I141" s="9"/>
      <c r="J141" s="9"/>
      <c r="K141" s="7"/>
      <c r="L141" s="7"/>
      <c r="M141" s="9" t="str">
        <f aca="false">IF(AND(H141&lt;&gt;"",I141&lt;&gt;"",K141&lt;&gt;""),ABS(H141-I141)*K141,"")</f>
        <v/>
      </c>
      <c r="N141" s="9"/>
      <c r="O141" s="7"/>
      <c r="P141" s="9" t="str">
        <f aca="false">IF(N141&lt;&gt;"",(N141-H141)*K141*IF(E141="Buy",1,-1),"")</f>
        <v/>
      </c>
      <c r="Q141" s="10" t="str">
        <f aca="false">IF(AND(P141&lt;&gt;"",H141&lt;&gt;0,K141&lt;&gt;0),P141/(H141*K141),"")</f>
        <v/>
      </c>
      <c r="R141" s="11" t="str">
        <f aca="false">IF(AND(N141&lt;&gt;"",H141&lt;&gt;I141),IF(E141="Buy",(N141-H141)/(H141-I141),(H141-N141)/(I141-H141)),"")</f>
        <v/>
      </c>
      <c r="S141" s="7" t="str">
        <f aca="false">IF(D141="","",IF(N141&lt;&gt;"","Closed","Open"))</f>
        <v/>
      </c>
      <c r="T141" s="7"/>
    </row>
    <row r="142" customFormat="false" ht="15" hidden="false" customHeight="false" outlineLevel="0" collapsed="false">
      <c r="A142" s="7"/>
      <c r="B142" s="7"/>
      <c r="C142" s="7"/>
      <c r="D142" s="7"/>
      <c r="E142" s="7"/>
      <c r="F142" s="7"/>
      <c r="G142" s="8"/>
      <c r="H142" s="9"/>
      <c r="I142" s="9"/>
      <c r="J142" s="9"/>
      <c r="K142" s="7"/>
      <c r="L142" s="7"/>
      <c r="M142" s="9" t="str">
        <f aca="false">IF(AND(H142&lt;&gt;"",I142&lt;&gt;"",K142&lt;&gt;""),ABS(H142-I142)*K142,"")</f>
        <v/>
      </c>
      <c r="N142" s="9"/>
      <c r="O142" s="7"/>
      <c r="P142" s="9" t="str">
        <f aca="false">IF(N142&lt;&gt;"",(N142-H142)*K142*IF(E142="Buy",1,-1),"")</f>
        <v/>
      </c>
      <c r="Q142" s="10" t="str">
        <f aca="false">IF(AND(P142&lt;&gt;"",H142&lt;&gt;0,K142&lt;&gt;0),P142/(H142*K142),"")</f>
        <v/>
      </c>
      <c r="R142" s="11" t="str">
        <f aca="false">IF(AND(N142&lt;&gt;"",H142&lt;&gt;I142),IF(E142="Buy",(N142-H142)/(H142-I142),(H142-N142)/(I142-H142)),"")</f>
        <v/>
      </c>
      <c r="S142" s="7" t="str">
        <f aca="false">IF(D142="","",IF(N142&lt;&gt;"","Closed","Open"))</f>
        <v/>
      </c>
      <c r="T142" s="7"/>
    </row>
    <row r="143" customFormat="false" ht="15" hidden="false" customHeight="false" outlineLevel="0" collapsed="false">
      <c r="A143" s="7"/>
      <c r="B143" s="7"/>
      <c r="C143" s="7"/>
      <c r="D143" s="7"/>
      <c r="E143" s="7"/>
      <c r="F143" s="7"/>
      <c r="G143" s="8"/>
      <c r="H143" s="9"/>
      <c r="I143" s="9"/>
      <c r="J143" s="9"/>
      <c r="K143" s="7"/>
      <c r="L143" s="7"/>
      <c r="M143" s="9" t="str">
        <f aca="false">IF(AND(H143&lt;&gt;"",I143&lt;&gt;"",K143&lt;&gt;""),ABS(H143-I143)*K143,"")</f>
        <v/>
      </c>
      <c r="N143" s="9"/>
      <c r="O143" s="7"/>
      <c r="P143" s="9" t="str">
        <f aca="false">IF(N143&lt;&gt;"",(N143-H143)*K143*IF(E143="Buy",1,-1),"")</f>
        <v/>
      </c>
      <c r="Q143" s="10" t="str">
        <f aca="false">IF(AND(P143&lt;&gt;"",H143&lt;&gt;0,K143&lt;&gt;0),P143/(H143*K143),"")</f>
        <v/>
      </c>
      <c r="R143" s="11" t="str">
        <f aca="false">IF(AND(N143&lt;&gt;"",H143&lt;&gt;I143),IF(E143="Buy",(N143-H143)/(H143-I143),(H143-N143)/(I143-H143)),"")</f>
        <v/>
      </c>
      <c r="S143" s="7" t="str">
        <f aca="false">IF(D143="","",IF(N143&lt;&gt;"","Closed","Open"))</f>
        <v/>
      </c>
      <c r="T143" s="7"/>
    </row>
    <row r="144" customFormat="false" ht="15" hidden="false" customHeight="false" outlineLevel="0" collapsed="false">
      <c r="A144" s="7"/>
      <c r="B144" s="7"/>
      <c r="C144" s="7"/>
      <c r="D144" s="7"/>
      <c r="E144" s="7"/>
      <c r="F144" s="7"/>
      <c r="G144" s="8"/>
      <c r="H144" s="9"/>
      <c r="I144" s="9"/>
      <c r="J144" s="9"/>
      <c r="K144" s="7"/>
      <c r="L144" s="7"/>
      <c r="M144" s="9" t="str">
        <f aca="false">IF(AND(H144&lt;&gt;"",I144&lt;&gt;"",K144&lt;&gt;""),ABS(H144-I144)*K144,"")</f>
        <v/>
      </c>
      <c r="N144" s="9"/>
      <c r="O144" s="7"/>
      <c r="P144" s="9" t="str">
        <f aca="false">IF(N144&lt;&gt;"",(N144-H144)*K144*IF(E144="Buy",1,-1),"")</f>
        <v/>
      </c>
      <c r="Q144" s="10" t="str">
        <f aca="false">IF(AND(P144&lt;&gt;"",H144&lt;&gt;0,K144&lt;&gt;0),P144/(H144*K144),"")</f>
        <v/>
      </c>
      <c r="R144" s="11" t="str">
        <f aca="false">IF(AND(N144&lt;&gt;"",H144&lt;&gt;I144),IF(E144="Buy",(N144-H144)/(H144-I144),(H144-N144)/(I144-H144)),"")</f>
        <v/>
      </c>
      <c r="S144" s="7" t="str">
        <f aca="false">IF(D144="","",IF(N144&lt;&gt;"","Closed","Open"))</f>
        <v/>
      </c>
      <c r="T144" s="7"/>
    </row>
    <row r="145" customFormat="false" ht="15" hidden="false" customHeight="false" outlineLevel="0" collapsed="false">
      <c r="A145" s="7"/>
      <c r="B145" s="7"/>
      <c r="C145" s="7"/>
      <c r="D145" s="7"/>
      <c r="E145" s="7"/>
      <c r="F145" s="7"/>
      <c r="G145" s="8"/>
      <c r="H145" s="9"/>
      <c r="I145" s="9"/>
      <c r="J145" s="9"/>
      <c r="K145" s="7"/>
      <c r="L145" s="7"/>
      <c r="M145" s="9" t="str">
        <f aca="false">IF(AND(H145&lt;&gt;"",I145&lt;&gt;"",K145&lt;&gt;""),ABS(H145-I145)*K145,"")</f>
        <v/>
      </c>
      <c r="N145" s="9"/>
      <c r="O145" s="7"/>
      <c r="P145" s="9" t="str">
        <f aca="false">IF(N145&lt;&gt;"",(N145-H145)*K145*IF(E145="Buy",1,-1),"")</f>
        <v/>
      </c>
      <c r="Q145" s="10" t="str">
        <f aca="false">IF(AND(P145&lt;&gt;"",H145&lt;&gt;0,K145&lt;&gt;0),P145/(H145*K145),"")</f>
        <v/>
      </c>
      <c r="R145" s="11" t="str">
        <f aca="false">IF(AND(N145&lt;&gt;"",H145&lt;&gt;I145),IF(E145="Buy",(N145-H145)/(H145-I145),(H145-N145)/(I145-H145)),"")</f>
        <v/>
      </c>
      <c r="S145" s="7" t="str">
        <f aca="false">IF(D145="","",IF(N145&lt;&gt;"","Closed","Open"))</f>
        <v/>
      </c>
      <c r="T145" s="7"/>
    </row>
    <row r="146" customFormat="false" ht="15" hidden="false" customHeight="false" outlineLevel="0" collapsed="false">
      <c r="A146" s="7"/>
      <c r="B146" s="7"/>
      <c r="C146" s="7"/>
      <c r="D146" s="7"/>
      <c r="E146" s="7"/>
      <c r="F146" s="7"/>
      <c r="G146" s="8"/>
      <c r="H146" s="9"/>
      <c r="I146" s="9"/>
      <c r="J146" s="9"/>
      <c r="K146" s="7"/>
      <c r="L146" s="7"/>
      <c r="M146" s="9" t="str">
        <f aca="false">IF(AND(H146&lt;&gt;"",I146&lt;&gt;"",K146&lt;&gt;""),ABS(H146-I146)*K146,"")</f>
        <v/>
      </c>
      <c r="N146" s="9"/>
      <c r="O146" s="7"/>
      <c r="P146" s="9" t="str">
        <f aca="false">IF(N146&lt;&gt;"",(N146-H146)*K146*IF(E146="Buy",1,-1),"")</f>
        <v/>
      </c>
      <c r="Q146" s="10" t="str">
        <f aca="false">IF(AND(P146&lt;&gt;"",H146&lt;&gt;0,K146&lt;&gt;0),P146/(H146*K146),"")</f>
        <v/>
      </c>
      <c r="R146" s="11" t="str">
        <f aca="false">IF(AND(N146&lt;&gt;"",H146&lt;&gt;I146),IF(E146="Buy",(N146-H146)/(H146-I146),(H146-N146)/(I146-H146)),"")</f>
        <v/>
      </c>
      <c r="S146" s="7" t="str">
        <f aca="false">IF(D146="","",IF(N146&lt;&gt;"","Closed","Open"))</f>
        <v/>
      </c>
      <c r="T146" s="7"/>
    </row>
    <row r="147" customFormat="false" ht="15" hidden="false" customHeight="false" outlineLevel="0" collapsed="false">
      <c r="A147" s="7"/>
      <c r="B147" s="7"/>
      <c r="C147" s="7"/>
      <c r="D147" s="7"/>
      <c r="E147" s="7"/>
      <c r="F147" s="7"/>
      <c r="G147" s="8"/>
      <c r="H147" s="9"/>
      <c r="I147" s="9"/>
      <c r="J147" s="9"/>
      <c r="K147" s="7"/>
      <c r="L147" s="7"/>
      <c r="M147" s="9" t="str">
        <f aca="false">IF(AND(H147&lt;&gt;"",I147&lt;&gt;"",K147&lt;&gt;""),ABS(H147-I147)*K147,"")</f>
        <v/>
      </c>
      <c r="N147" s="9"/>
      <c r="O147" s="7"/>
      <c r="P147" s="9" t="str">
        <f aca="false">IF(N147&lt;&gt;"",(N147-H147)*K147*IF(E147="Buy",1,-1),"")</f>
        <v/>
      </c>
      <c r="Q147" s="10" t="str">
        <f aca="false">IF(AND(P147&lt;&gt;"",H147&lt;&gt;0,K147&lt;&gt;0),P147/(H147*K147),"")</f>
        <v/>
      </c>
      <c r="R147" s="11" t="str">
        <f aca="false">IF(AND(N147&lt;&gt;"",H147&lt;&gt;I147),IF(E147="Buy",(N147-H147)/(H147-I147),(H147-N147)/(I147-H147)),"")</f>
        <v/>
      </c>
      <c r="S147" s="7" t="str">
        <f aca="false">IF(D147="","",IF(N147&lt;&gt;"","Closed","Open"))</f>
        <v/>
      </c>
      <c r="T147" s="7"/>
    </row>
    <row r="148" customFormat="false" ht="15" hidden="false" customHeight="false" outlineLevel="0" collapsed="false">
      <c r="A148" s="7"/>
      <c r="B148" s="7"/>
      <c r="C148" s="7"/>
      <c r="D148" s="7"/>
      <c r="E148" s="7"/>
      <c r="F148" s="7"/>
      <c r="G148" s="8"/>
      <c r="H148" s="9"/>
      <c r="I148" s="9"/>
      <c r="J148" s="9"/>
      <c r="K148" s="7"/>
      <c r="L148" s="7"/>
      <c r="M148" s="9" t="str">
        <f aca="false">IF(AND(H148&lt;&gt;"",I148&lt;&gt;"",K148&lt;&gt;""),ABS(H148-I148)*K148,"")</f>
        <v/>
      </c>
      <c r="N148" s="9"/>
      <c r="O148" s="7"/>
      <c r="P148" s="9" t="str">
        <f aca="false">IF(N148&lt;&gt;"",(N148-H148)*K148*IF(E148="Buy",1,-1),"")</f>
        <v/>
      </c>
      <c r="Q148" s="10" t="str">
        <f aca="false">IF(AND(P148&lt;&gt;"",H148&lt;&gt;0,K148&lt;&gt;0),P148/(H148*K148),"")</f>
        <v/>
      </c>
      <c r="R148" s="11" t="str">
        <f aca="false">IF(AND(N148&lt;&gt;"",H148&lt;&gt;I148),IF(E148="Buy",(N148-H148)/(H148-I148),(H148-N148)/(I148-H148)),"")</f>
        <v/>
      </c>
      <c r="S148" s="7" t="str">
        <f aca="false">IF(D148="","",IF(N148&lt;&gt;"","Closed","Open"))</f>
        <v/>
      </c>
      <c r="T148" s="7"/>
    </row>
    <row r="149" customFormat="false" ht="15" hidden="false" customHeight="false" outlineLevel="0" collapsed="false">
      <c r="A149" s="7"/>
      <c r="B149" s="7"/>
      <c r="C149" s="7"/>
      <c r="D149" s="7"/>
      <c r="E149" s="7"/>
      <c r="F149" s="7"/>
      <c r="G149" s="8"/>
      <c r="H149" s="9"/>
      <c r="I149" s="9"/>
      <c r="J149" s="9"/>
      <c r="K149" s="7"/>
      <c r="L149" s="7"/>
      <c r="M149" s="9" t="str">
        <f aca="false">IF(AND(H149&lt;&gt;"",I149&lt;&gt;"",K149&lt;&gt;""),ABS(H149-I149)*K149,"")</f>
        <v/>
      </c>
      <c r="N149" s="9"/>
      <c r="O149" s="7"/>
      <c r="P149" s="9" t="str">
        <f aca="false">IF(N149&lt;&gt;"",(N149-H149)*K149*IF(E149="Buy",1,-1),"")</f>
        <v/>
      </c>
      <c r="Q149" s="10" t="str">
        <f aca="false">IF(AND(P149&lt;&gt;"",H149&lt;&gt;0,K149&lt;&gt;0),P149/(H149*K149),"")</f>
        <v/>
      </c>
      <c r="R149" s="11" t="str">
        <f aca="false">IF(AND(N149&lt;&gt;"",H149&lt;&gt;I149),IF(E149="Buy",(N149-H149)/(H149-I149),(H149-N149)/(I149-H149)),"")</f>
        <v/>
      </c>
      <c r="S149" s="7" t="str">
        <f aca="false">IF(D149="","",IF(N149&lt;&gt;"","Closed","Open"))</f>
        <v/>
      </c>
      <c r="T149" s="7"/>
    </row>
    <row r="150" customFormat="false" ht="15" hidden="false" customHeight="false" outlineLevel="0" collapsed="false">
      <c r="A150" s="7"/>
      <c r="B150" s="7"/>
      <c r="C150" s="7"/>
      <c r="D150" s="7"/>
      <c r="E150" s="7"/>
      <c r="F150" s="7"/>
      <c r="G150" s="8"/>
      <c r="H150" s="9"/>
      <c r="I150" s="9"/>
      <c r="J150" s="9"/>
      <c r="K150" s="7"/>
      <c r="L150" s="7"/>
      <c r="M150" s="9" t="str">
        <f aca="false">IF(AND(H150&lt;&gt;"",I150&lt;&gt;"",K150&lt;&gt;""),ABS(H150-I150)*K150,"")</f>
        <v/>
      </c>
      <c r="N150" s="9"/>
      <c r="O150" s="7"/>
      <c r="P150" s="9" t="str">
        <f aca="false">IF(N150&lt;&gt;"",(N150-H150)*K150*IF(E150="Buy",1,-1),"")</f>
        <v/>
      </c>
      <c r="Q150" s="10" t="str">
        <f aca="false">IF(AND(P150&lt;&gt;"",H150&lt;&gt;0,K150&lt;&gt;0),P150/(H150*K150),"")</f>
        <v/>
      </c>
      <c r="R150" s="11" t="str">
        <f aca="false">IF(AND(N150&lt;&gt;"",H150&lt;&gt;I150),IF(E150="Buy",(N150-H150)/(H150-I150),(H150-N150)/(I150-H150)),"")</f>
        <v/>
      </c>
      <c r="S150" s="7" t="str">
        <f aca="false">IF(D150="","",IF(N150&lt;&gt;"","Closed","Open"))</f>
        <v/>
      </c>
      <c r="T150" s="7"/>
    </row>
    <row r="151" customFormat="false" ht="15" hidden="false" customHeight="false" outlineLevel="0" collapsed="false">
      <c r="A151" s="7"/>
      <c r="B151" s="7"/>
      <c r="C151" s="7"/>
      <c r="D151" s="7"/>
      <c r="E151" s="7"/>
      <c r="F151" s="7"/>
      <c r="G151" s="8"/>
      <c r="H151" s="9"/>
      <c r="I151" s="9"/>
      <c r="J151" s="9"/>
      <c r="K151" s="7"/>
      <c r="L151" s="7"/>
      <c r="M151" s="9" t="str">
        <f aca="false">IF(AND(H151&lt;&gt;"",I151&lt;&gt;"",K151&lt;&gt;""),ABS(H151-I151)*K151,"")</f>
        <v/>
      </c>
      <c r="N151" s="9"/>
      <c r="O151" s="7"/>
      <c r="P151" s="9" t="str">
        <f aca="false">IF(N151&lt;&gt;"",(N151-H151)*K151*IF(E151="Buy",1,-1),"")</f>
        <v/>
      </c>
      <c r="Q151" s="10" t="str">
        <f aca="false">IF(AND(P151&lt;&gt;"",H151&lt;&gt;0,K151&lt;&gt;0),P151/(H151*K151),"")</f>
        <v/>
      </c>
      <c r="R151" s="11" t="str">
        <f aca="false">IF(AND(N151&lt;&gt;"",H151&lt;&gt;I151),IF(E151="Buy",(N151-H151)/(H151-I151),(H151-N151)/(I151-H151)),"")</f>
        <v/>
      </c>
      <c r="S151" s="7" t="str">
        <f aca="false">IF(D151="","",IF(N151&lt;&gt;"","Closed","Open"))</f>
        <v/>
      </c>
      <c r="T151" s="7"/>
    </row>
    <row r="152" customFormat="false" ht="15" hidden="false" customHeight="false" outlineLevel="0" collapsed="false">
      <c r="A152" s="7"/>
      <c r="B152" s="7"/>
      <c r="C152" s="7"/>
      <c r="D152" s="7"/>
      <c r="E152" s="7"/>
      <c r="F152" s="7"/>
      <c r="G152" s="8"/>
      <c r="H152" s="9"/>
      <c r="I152" s="9"/>
      <c r="J152" s="9"/>
      <c r="K152" s="7"/>
      <c r="L152" s="7"/>
      <c r="M152" s="9" t="str">
        <f aca="false">IF(AND(H152&lt;&gt;"",I152&lt;&gt;"",K152&lt;&gt;""),ABS(H152-I152)*K152,"")</f>
        <v/>
      </c>
      <c r="N152" s="9"/>
      <c r="O152" s="7"/>
      <c r="P152" s="9" t="str">
        <f aca="false">IF(N152&lt;&gt;"",(N152-H152)*K152*IF(E152="Buy",1,-1),"")</f>
        <v/>
      </c>
      <c r="Q152" s="10" t="str">
        <f aca="false">IF(AND(P152&lt;&gt;"",H152&lt;&gt;0,K152&lt;&gt;0),P152/(H152*K152),"")</f>
        <v/>
      </c>
      <c r="R152" s="11" t="str">
        <f aca="false">IF(AND(N152&lt;&gt;"",H152&lt;&gt;I152),IF(E152="Buy",(N152-H152)/(H152-I152),(H152-N152)/(I152-H152)),"")</f>
        <v/>
      </c>
      <c r="S152" s="7" t="str">
        <f aca="false">IF(D152="","",IF(N152&lt;&gt;"","Closed","Open"))</f>
        <v/>
      </c>
      <c r="T152" s="7"/>
    </row>
    <row r="153" customFormat="false" ht="15" hidden="false" customHeight="false" outlineLevel="0" collapsed="false">
      <c r="A153" s="7"/>
      <c r="B153" s="7"/>
      <c r="C153" s="7"/>
      <c r="D153" s="7"/>
      <c r="E153" s="7"/>
      <c r="F153" s="7"/>
      <c r="G153" s="8"/>
      <c r="H153" s="9"/>
      <c r="I153" s="9"/>
      <c r="J153" s="9"/>
      <c r="K153" s="7"/>
      <c r="L153" s="7"/>
      <c r="M153" s="9" t="str">
        <f aca="false">IF(AND(H153&lt;&gt;"",I153&lt;&gt;"",K153&lt;&gt;""),ABS(H153-I153)*K153,"")</f>
        <v/>
      </c>
      <c r="N153" s="9"/>
      <c r="O153" s="7"/>
      <c r="P153" s="9" t="str">
        <f aca="false">IF(N153&lt;&gt;"",(N153-H153)*K153*IF(E153="Buy",1,-1),"")</f>
        <v/>
      </c>
      <c r="Q153" s="10" t="str">
        <f aca="false">IF(AND(P153&lt;&gt;"",H153&lt;&gt;0,K153&lt;&gt;0),P153/(H153*K153),"")</f>
        <v/>
      </c>
      <c r="R153" s="11" t="str">
        <f aca="false">IF(AND(N153&lt;&gt;"",H153&lt;&gt;I153),IF(E153="Buy",(N153-H153)/(H153-I153),(H153-N153)/(I153-H153)),"")</f>
        <v/>
      </c>
      <c r="S153" s="7" t="str">
        <f aca="false">IF(D153="","",IF(N153&lt;&gt;"","Closed","Open"))</f>
        <v/>
      </c>
      <c r="T153" s="7"/>
    </row>
    <row r="154" customFormat="false" ht="15" hidden="false" customHeight="false" outlineLevel="0" collapsed="false">
      <c r="A154" s="7"/>
      <c r="B154" s="7"/>
      <c r="C154" s="7"/>
      <c r="D154" s="7"/>
      <c r="E154" s="7"/>
      <c r="F154" s="7"/>
      <c r="G154" s="8"/>
      <c r="H154" s="9"/>
      <c r="I154" s="9"/>
      <c r="J154" s="9"/>
      <c r="K154" s="7"/>
      <c r="L154" s="7"/>
      <c r="M154" s="9" t="str">
        <f aca="false">IF(AND(H154&lt;&gt;"",I154&lt;&gt;"",K154&lt;&gt;""),ABS(H154-I154)*K154,"")</f>
        <v/>
      </c>
      <c r="N154" s="9"/>
      <c r="O154" s="7"/>
      <c r="P154" s="9" t="str">
        <f aca="false">IF(N154&lt;&gt;"",(N154-H154)*K154*IF(E154="Buy",1,-1),"")</f>
        <v/>
      </c>
      <c r="Q154" s="10" t="str">
        <f aca="false">IF(AND(P154&lt;&gt;"",H154&lt;&gt;0,K154&lt;&gt;0),P154/(H154*K154),"")</f>
        <v/>
      </c>
      <c r="R154" s="11" t="str">
        <f aca="false">IF(AND(N154&lt;&gt;"",H154&lt;&gt;I154),IF(E154="Buy",(N154-H154)/(H154-I154),(H154-N154)/(I154-H154)),"")</f>
        <v/>
      </c>
      <c r="S154" s="7" t="str">
        <f aca="false">IF(D154="","",IF(N154&lt;&gt;"","Closed","Open"))</f>
        <v/>
      </c>
      <c r="T154" s="7"/>
    </row>
    <row r="155" customFormat="false" ht="15" hidden="false" customHeight="false" outlineLevel="0" collapsed="false">
      <c r="A155" s="7"/>
      <c r="B155" s="7"/>
      <c r="C155" s="7"/>
      <c r="D155" s="7"/>
      <c r="E155" s="7"/>
      <c r="F155" s="7"/>
      <c r="G155" s="8"/>
      <c r="H155" s="9"/>
      <c r="I155" s="9"/>
      <c r="J155" s="9"/>
      <c r="K155" s="7"/>
      <c r="L155" s="7"/>
      <c r="M155" s="9" t="str">
        <f aca="false">IF(AND(H155&lt;&gt;"",I155&lt;&gt;"",K155&lt;&gt;""),ABS(H155-I155)*K155,"")</f>
        <v/>
      </c>
      <c r="N155" s="9"/>
      <c r="O155" s="7"/>
      <c r="P155" s="9" t="str">
        <f aca="false">IF(N155&lt;&gt;"",(N155-H155)*K155*IF(E155="Buy",1,-1),"")</f>
        <v/>
      </c>
      <c r="Q155" s="10" t="str">
        <f aca="false">IF(AND(P155&lt;&gt;"",H155&lt;&gt;0,K155&lt;&gt;0),P155/(H155*K155),"")</f>
        <v/>
      </c>
      <c r="R155" s="11" t="str">
        <f aca="false">IF(AND(N155&lt;&gt;"",H155&lt;&gt;I155),IF(E155="Buy",(N155-H155)/(H155-I155),(H155-N155)/(I155-H155)),"")</f>
        <v/>
      </c>
      <c r="S155" s="7" t="str">
        <f aca="false">IF(D155="","",IF(N155&lt;&gt;"","Closed","Open"))</f>
        <v/>
      </c>
      <c r="T155" s="7"/>
    </row>
    <row r="156" customFormat="false" ht="15" hidden="false" customHeight="false" outlineLevel="0" collapsed="false">
      <c r="A156" s="7"/>
      <c r="B156" s="7"/>
      <c r="C156" s="7"/>
      <c r="D156" s="7"/>
      <c r="E156" s="7"/>
      <c r="F156" s="7"/>
      <c r="G156" s="8"/>
      <c r="H156" s="9"/>
      <c r="I156" s="9"/>
      <c r="J156" s="9"/>
      <c r="K156" s="7"/>
      <c r="L156" s="7"/>
      <c r="M156" s="9" t="str">
        <f aca="false">IF(AND(H156&lt;&gt;"",I156&lt;&gt;"",K156&lt;&gt;""),ABS(H156-I156)*K156,"")</f>
        <v/>
      </c>
      <c r="N156" s="9"/>
      <c r="O156" s="7"/>
      <c r="P156" s="9" t="str">
        <f aca="false">IF(N156&lt;&gt;"",(N156-H156)*K156*IF(E156="Buy",1,-1),"")</f>
        <v/>
      </c>
      <c r="Q156" s="10" t="str">
        <f aca="false">IF(AND(P156&lt;&gt;"",H156&lt;&gt;0,K156&lt;&gt;0),P156/(H156*K156),"")</f>
        <v/>
      </c>
      <c r="R156" s="11" t="str">
        <f aca="false">IF(AND(N156&lt;&gt;"",H156&lt;&gt;I156),IF(E156="Buy",(N156-H156)/(H156-I156),(H156-N156)/(I156-H156)),"")</f>
        <v/>
      </c>
      <c r="S156" s="7" t="str">
        <f aca="false">IF(D156="","",IF(N156&lt;&gt;"","Closed","Open"))</f>
        <v/>
      </c>
      <c r="T156" s="7"/>
    </row>
    <row r="157" customFormat="false" ht="15" hidden="false" customHeight="false" outlineLevel="0" collapsed="false">
      <c r="A157" s="7"/>
      <c r="B157" s="7"/>
      <c r="C157" s="7"/>
      <c r="D157" s="7"/>
      <c r="E157" s="7"/>
      <c r="F157" s="7"/>
      <c r="G157" s="8"/>
      <c r="H157" s="9"/>
      <c r="I157" s="9"/>
      <c r="J157" s="9"/>
      <c r="K157" s="7"/>
      <c r="L157" s="7"/>
      <c r="M157" s="9" t="str">
        <f aca="false">IF(AND(H157&lt;&gt;"",I157&lt;&gt;"",K157&lt;&gt;""),ABS(H157-I157)*K157,"")</f>
        <v/>
      </c>
      <c r="N157" s="9"/>
      <c r="O157" s="7"/>
      <c r="P157" s="9" t="str">
        <f aca="false">IF(N157&lt;&gt;"",(N157-H157)*K157*IF(E157="Buy",1,-1),"")</f>
        <v/>
      </c>
      <c r="Q157" s="10" t="str">
        <f aca="false">IF(AND(P157&lt;&gt;"",H157&lt;&gt;0,K157&lt;&gt;0),P157/(H157*K157),"")</f>
        <v/>
      </c>
      <c r="R157" s="11" t="str">
        <f aca="false">IF(AND(N157&lt;&gt;"",H157&lt;&gt;I157),IF(E157="Buy",(N157-H157)/(H157-I157),(H157-N157)/(I157-H157)),"")</f>
        <v/>
      </c>
      <c r="S157" s="7" t="str">
        <f aca="false">IF(D157="","",IF(N157&lt;&gt;"","Closed","Open"))</f>
        <v/>
      </c>
      <c r="T157" s="7"/>
    </row>
    <row r="158" customFormat="false" ht="15" hidden="false" customHeight="false" outlineLevel="0" collapsed="false">
      <c r="A158" s="7"/>
      <c r="B158" s="7"/>
      <c r="C158" s="7"/>
      <c r="D158" s="7"/>
      <c r="E158" s="7"/>
      <c r="F158" s="7"/>
      <c r="G158" s="8"/>
      <c r="H158" s="9"/>
      <c r="I158" s="9"/>
      <c r="J158" s="9"/>
      <c r="K158" s="7"/>
      <c r="L158" s="7"/>
      <c r="M158" s="9" t="str">
        <f aca="false">IF(AND(H158&lt;&gt;"",I158&lt;&gt;"",K158&lt;&gt;""),ABS(H158-I158)*K158,"")</f>
        <v/>
      </c>
      <c r="N158" s="9"/>
      <c r="O158" s="7"/>
      <c r="P158" s="9" t="str">
        <f aca="false">IF(N158&lt;&gt;"",(N158-H158)*K158*IF(E158="Buy",1,-1),"")</f>
        <v/>
      </c>
      <c r="Q158" s="10" t="str">
        <f aca="false">IF(AND(P158&lt;&gt;"",H158&lt;&gt;0,K158&lt;&gt;0),P158/(H158*K158),"")</f>
        <v/>
      </c>
      <c r="R158" s="11" t="str">
        <f aca="false">IF(AND(N158&lt;&gt;"",H158&lt;&gt;I158),IF(E158="Buy",(N158-H158)/(H158-I158),(H158-N158)/(I158-H158)),"")</f>
        <v/>
      </c>
      <c r="S158" s="7" t="str">
        <f aca="false">IF(D158="","",IF(N158&lt;&gt;"","Closed","Open"))</f>
        <v/>
      </c>
      <c r="T158" s="7"/>
    </row>
    <row r="159" customFormat="false" ht="15" hidden="false" customHeight="false" outlineLevel="0" collapsed="false">
      <c r="A159" s="7"/>
      <c r="B159" s="7"/>
      <c r="C159" s="7"/>
      <c r="D159" s="7"/>
      <c r="E159" s="7"/>
      <c r="F159" s="7"/>
      <c r="G159" s="8"/>
      <c r="H159" s="9"/>
      <c r="I159" s="9"/>
      <c r="J159" s="9"/>
      <c r="K159" s="7"/>
      <c r="L159" s="7"/>
      <c r="M159" s="9" t="str">
        <f aca="false">IF(AND(H159&lt;&gt;"",I159&lt;&gt;"",K159&lt;&gt;""),ABS(H159-I159)*K159,"")</f>
        <v/>
      </c>
      <c r="N159" s="9"/>
      <c r="O159" s="7"/>
      <c r="P159" s="9" t="str">
        <f aca="false">IF(N159&lt;&gt;"",(N159-H159)*K159*IF(E159="Buy",1,-1),"")</f>
        <v/>
      </c>
      <c r="Q159" s="10" t="str">
        <f aca="false">IF(AND(P159&lt;&gt;"",H159&lt;&gt;0,K159&lt;&gt;0),P159/(H159*K159),"")</f>
        <v/>
      </c>
      <c r="R159" s="11" t="str">
        <f aca="false">IF(AND(N159&lt;&gt;"",H159&lt;&gt;I159),IF(E159="Buy",(N159-H159)/(H159-I159),(H159-N159)/(I159-H159)),"")</f>
        <v/>
      </c>
      <c r="S159" s="7" t="str">
        <f aca="false">IF(D159="","",IF(N159&lt;&gt;"","Closed","Open"))</f>
        <v/>
      </c>
      <c r="T159" s="7"/>
    </row>
    <row r="160" customFormat="false" ht="15" hidden="false" customHeight="false" outlineLevel="0" collapsed="false">
      <c r="A160" s="7"/>
      <c r="B160" s="7"/>
      <c r="C160" s="7"/>
      <c r="D160" s="7"/>
      <c r="E160" s="7"/>
      <c r="F160" s="7"/>
      <c r="G160" s="8"/>
      <c r="H160" s="9"/>
      <c r="I160" s="9"/>
      <c r="J160" s="9"/>
      <c r="K160" s="7"/>
      <c r="L160" s="7"/>
      <c r="M160" s="9" t="str">
        <f aca="false">IF(AND(H160&lt;&gt;"",I160&lt;&gt;"",K160&lt;&gt;""),ABS(H160-I160)*K160,"")</f>
        <v/>
      </c>
      <c r="N160" s="9"/>
      <c r="O160" s="7"/>
      <c r="P160" s="9" t="str">
        <f aca="false">IF(N160&lt;&gt;"",(N160-H160)*K160*IF(E160="Buy",1,-1),"")</f>
        <v/>
      </c>
      <c r="Q160" s="10" t="str">
        <f aca="false">IF(AND(P160&lt;&gt;"",H160&lt;&gt;0,K160&lt;&gt;0),P160/(H160*K160),"")</f>
        <v/>
      </c>
      <c r="R160" s="11" t="str">
        <f aca="false">IF(AND(N160&lt;&gt;"",H160&lt;&gt;I160),IF(E160="Buy",(N160-H160)/(H160-I160),(H160-N160)/(I160-H160)),"")</f>
        <v/>
      </c>
      <c r="S160" s="7" t="str">
        <f aca="false">IF(D160="","",IF(N160&lt;&gt;"","Closed","Open"))</f>
        <v/>
      </c>
      <c r="T160" s="7"/>
    </row>
    <row r="161" customFormat="false" ht="15" hidden="false" customHeight="false" outlineLevel="0" collapsed="false">
      <c r="A161" s="7"/>
      <c r="B161" s="7"/>
      <c r="C161" s="7"/>
      <c r="D161" s="7"/>
      <c r="E161" s="7"/>
      <c r="F161" s="7"/>
      <c r="G161" s="8"/>
      <c r="H161" s="9"/>
      <c r="I161" s="9"/>
      <c r="J161" s="9"/>
      <c r="K161" s="7"/>
      <c r="L161" s="7"/>
      <c r="M161" s="9" t="str">
        <f aca="false">IF(AND(H161&lt;&gt;"",I161&lt;&gt;"",K161&lt;&gt;""),ABS(H161-I161)*K161,"")</f>
        <v/>
      </c>
      <c r="N161" s="9"/>
      <c r="O161" s="7"/>
      <c r="P161" s="9" t="str">
        <f aca="false">IF(N161&lt;&gt;"",(N161-H161)*K161*IF(E161="Buy",1,-1),"")</f>
        <v/>
      </c>
      <c r="Q161" s="10" t="str">
        <f aca="false">IF(AND(P161&lt;&gt;"",H161&lt;&gt;0,K161&lt;&gt;0),P161/(H161*K161),"")</f>
        <v/>
      </c>
      <c r="R161" s="11" t="str">
        <f aca="false">IF(AND(N161&lt;&gt;"",H161&lt;&gt;I161),IF(E161="Buy",(N161-H161)/(H161-I161),(H161-N161)/(I161-H161)),"")</f>
        <v/>
      </c>
      <c r="S161" s="7" t="str">
        <f aca="false">IF(D161="","",IF(N161&lt;&gt;"","Closed","Open"))</f>
        <v/>
      </c>
      <c r="T161" s="7"/>
    </row>
    <row r="162" customFormat="false" ht="15" hidden="false" customHeight="false" outlineLevel="0" collapsed="false">
      <c r="A162" s="7"/>
      <c r="B162" s="7"/>
      <c r="C162" s="7"/>
      <c r="D162" s="7"/>
      <c r="E162" s="7"/>
      <c r="F162" s="7"/>
      <c r="G162" s="8"/>
      <c r="H162" s="9"/>
      <c r="I162" s="9"/>
      <c r="J162" s="9"/>
      <c r="K162" s="7"/>
      <c r="L162" s="7"/>
      <c r="M162" s="9" t="str">
        <f aca="false">IF(AND(H162&lt;&gt;"",I162&lt;&gt;"",K162&lt;&gt;""),ABS(H162-I162)*K162,"")</f>
        <v/>
      </c>
      <c r="N162" s="9"/>
      <c r="O162" s="7"/>
      <c r="P162" s="9" t="str">
        <f aca="false">IF(N162&lt;&gt;"",(N162-H162)*K162*IF(E162="Buy",1,-1),"")</f>
        <v/>
      </c>
      <c r="Q162" s="10" t="str">
        <f aca="false">IF(AND(P162&lt;&gt;"",H162&lt;&gt;0,K162&lt;&gt;0),P162/(H162*K162),"")</f>
        <v/>
      </c>
      <c r="R162" s="11" t="str">
        <f aca="false">IF(AND(N162&lt;&gt;"",H162&lt;&gt;I162),IF(E162="Buy",(N162-H162)/(H162-I162),(H162-N162)/(I162-H162)),"")</f>
        <v/>
      </c>
      <c r="S162" s="7" t="str">
        <f aca="false">IF(D162="","",IF(N162&lt;&gt;"","Closed","Open"))</f>
        <v/>
      </c>
      <c r="T162" s="7"/>
    </row>
    <row r="163" customFormat="false" ht="15" hidden="false" customHeight="false" outlineLevel="0" collapsed="false">
      <c r="A163" s="7"/>
      <c r="B163" s="7"/>
      <c r="C163" s="7"/>
      <c r="D163" s="7"/>
      <c r="E163" s="7"/>
      <c r="F163" s="7"/>
      <c r="G163" s="8"/>
      <c r="H163" s="9"/>
      <c r="I163" s="9"/>
      <c r="J163" s="9"/>
      <c r="K163" s="7"/>
      <c r="L163" s="7"/>
      <c r="M163" s="9" t="str">
        <f aca="false">IF(AND(H163&lt;&gt;"",I163&lt;&gt;"",K163&lt;&gt;""),ABS(H163-I163)*K163,"")</f>
        <v/>
      </c>
      <c r="N163" s="9"/>
      <c r="O163" s="7"/>
      <c r="P163" s="9" t="str">
        <f aca="false">IF(N163&lt;&gt;"",(N163-H163)*K163*IF(E163="Buy",1,-1),"")</f>
        <v/>
      </c>
      <c r="Q163" s="10" t="str">
        <f aca="false">IF(AND(P163&lt;&gt;"",H163&lt;&gt;0,K163&lt;&gt;0),P163/(H163*K163),"")</f>
        <v/>
      </c>
      <c r="R163" s="11" t="str">
        <f aca="false">IF(AND(N163&lt;&gt;"",H163&lt;&gt;I163),IF(E163="Buy",(N163-H163)/(H163-I163),(H163-N163)/(I163-H163)),"")</f>
        <v/>
      </c>
      <c r="S163" s="7" t="str">
        <f aca="false">IF(D163="","",IF(N163&lt;&gt;"","Closed","Open"))</f>
        <v/>
      </c>
      <c r="T163" s="7"/>
    </row>
    <row r="164" customFormat="false" ht="15" hidden="false" customHeight="false" outlineLevel="0" collapsed="false">
      <c r="A164" s="7"/>
      <c r="B164" s="7"/>
      <c r="C164" s="7"/>
      <c r="D164" s="7"/>
      <c r="E164" s="7"/>
      <c r="F164" s="7"/>
      <c r="G164" s="8"/>
      <c r="H164" s="9"/>
      <c r="I164" s="9"/>
      <c r="J164" s="9"/>
      <c r="K164" s="7"/>
      <c r="L164" s="7"/>
      <c r="M164" s="9" t="str">
        <f aca="false">IF(AND(H164&lt;&gt;"",I164&lt;&gt;"",K164&lt;&gt;""),ABS(H164-I164)*K164,"")</f>
        <v/>
      </c>
      <c r="N164" s="9"/>
      <c r="O164" s="7"/>
      <c r="P164" s="9" t="str">
        <f aca="false">IF(N164&lt;&gt;"",(N164-H164)*K164*IF(E164="Buy",1,-1),"")</f>
        <v/>
      </c>
      <c r="Q164" s="10" t="str">
        <f aca="false">IF(AND(P164&lt;&gt;"",H164&lt;&gt;0,K164&lt;&gt;0),P164/(H164*K164),"")</f>
        <v/>
      </c>
      <c r="R164" s="11" t="str">
        <f aca="false">IF(AND(N164&lt;&gt;"",H164&lt;&gt;I164),IF(E164="Buy",(N164-H164)/(H164-I164),(H164-N164)/(I164-H164)),"")</f>
        <v/>
      </c>
      <c r="S164" s="7" t="str">
        <f aca="false">IF(D164="","",IF(N164&lt;&gt;"","Closed","Open"))</f>
        <v/>
      </c>
      <c r="T164" s="7"/>
    </row>
    <row r="165" customFormat="false" ht="15" hidden="false" customHeight="false" outlineLevel="0" collapsed="false">
      <c r="A165" s="7"/>
      <c r="B165" s="7"/>
      <c r="C165" s="7"/>
      <c r="D165" s="7"/>
      <c r="E165" s="7"/>
      <c r="F165" s="7"/>
      <c r="G165" s="8"/>
      <c r="H165" s="9"/>
      <c r="I165" s="9"/>
      <c r="J165" s="9"/>
      <c r="K165" s="7"/>
      <c r="L165" s="7"/>
      <c r="M165" s="9" t="str">
        <f aca="false">IF(AND(H165&lt;&gt;"",I165&lt;&gt;"",K165&lt;&gt;""),ABS(H165-I165)*K165,"")</f>
        <v/>
      </c>
      <c r="N165" s="9"/>
      <c r="O165" s="7"/>
      <c r="P165" s="9" t="str">
        <f aca="false">IF(N165&lt;&gt;"",(N165-H165)*K165*IF(E165="Buy",1,-1),"")</f>
        <v/>
      </c>
      <c r="Q165" s="10" t="str">
        <f aca="false">IF(AND(P165&lt;&gt;"",H165&lt;&gt;0,K165&lt;&gt;0),P165/(H165*K165),"")</f>
        <v/>
      </c>
      <c r="R165" s="11" t="str">
        <f aca="false">IF(AND(N165&lt;&gt;"",H165&lt;&gt;I165),IF(E165="Buy",(N165-H165)/(H165-I165),(H165-N165)/(I165-H165)),"")</f>
        <v/>
      </c>
      <c r="S165" s="7" t="str">
        <f aca="false">IF(D165="","",IF(N165&lt;&gt;"","Closed","Open"))</f>
        <v/>
      </c>
      <c r="T165" s="7"/>
    </row>
    <row r="166" customFormat="false" ht="15" hidden="false" customHeight="false" outlineLevel="0" collapsed="false">
      <c r="A166" s="7"/>
      <c r="B166" s="7"/>
      <c r="C166" s="7"/>
      <c r="D166" s="7"/>
      <c r="E166" s="7"/>
      <c r="F166" s="7"/>
      <c r="G166" s="8"/>
      <c r="H166" s="9"/>
      <c r="I166" s="9"/>
      <c r="J166" s="9"/>
      <c r="K166" s="7"/>
      <c r="L166" s="7"/>
      <c r="M166" s="9" t="str">
        <f aca="false">IF(AND(H166&lt;&gt;"",I166&lt;&gt;"",K166&lt;&gt;""),ABS(H166-I166)*K166,"")</f>
        <v/>
      </c>
      <c r="N166" s="9"/>
      <c r="O166" s="7"/>
      <c r="P166" s="9" t="str">
        <f aca="false">IF(N166&lt;&gt;"",(N166-H166)*K166*IF(E166="Buy",1,-1),"")</f>
        <v/>
      </c>
      <c r="Q166" s="10" t="str">
        <f aca="false">IF(AND(P166&lt;&gt;"",H166&lt;&gt;0,K166&lt;&gt;0),P166/(H166*K166),"")</f>
        <v/>
      </c>
      <c r="R166" s="11" t="str">
        <f aca="false">IF(AND(N166&lt;&gt;"",H166&lt;&gt;I166),IF(E166="Buy",(N166-H166)/(H166-I166),(H166-N166)/(I166-H166)),"")</f>
        <v/>
      </c>
      <c r="S166" s="7" t="str">
        <f aca="false">IF(D166="","",IF(N166&lt;&gt;"","Closed","Open"))</f>
        <v/>
      </c>
      <c r="T166" s="7"/>
    </row>
    <row r="167" customFormat="false" ht="15" hidden="false" customHeight="false" outlineLevel="0" collapsed="false">
      <c r="A167" s="7"/>
      <c r="B167" s="7"/>
      <c r="C167" s="7"/>
      <c r="D167" s="7"/>
      <c r="E167" s="7"/>
      <c r="F167" s="7"/>
      <c r="G167" s="8"/>
      <c r="H167" s="9"/>
      <c r="I167" s="9"/>
      <c r="J167" s="9"/>
      <c r="K167" s="7"/>
      <c r="L167" s="7"/>
      <c r="M167" s="9" t="str">
        <f aca="false">IF(AND(H167&lt;&gt;"",I167&lt;&gt;"",K167&lt;&gt;""),ABS(H167-I167)*K167,"")</f>
        <v/>
      </c>
      <c r="N167" s="9"/>
      <c r="O167" s="7"/>
      <c r="P167" s="9" t="str">
        <f aca="false">IF(N167&lt;&gt;"",(N167-H167)*K167*IF(E167="Buy",1,-1),"")</f>
        <v/>
      </c>
      <c r="Q167" s="10" t="str">
        <f aca="false">IF(AND(P167&lt;&gt;"",H167&lt;&gt;0,K167&lt;&gt;0),P167/(H167*K167),"")</f>
        <v/>
      </c>
      <c r="R167" s="11" t="str">
        <f aca="false">IF(AND(N167&lt;&gt;"",H167&lt;&gt;I167),IF(E167="Buy",(N167-H167)/(H167-I167),(H167-N167)/(I167-H167)),"")</f>
        <v/>
      </c>
      <c r="S167" s="7" t="str">
        <f aca="false">IF(D167="","",IF(N167&lt;&gt;"","Closed","Open"))</f>
        <v/>
      </c>
      <c r="T167" s="7"/>
    </row>
    <row r="168" customFormat="false" ht="15" hidden="false" customHeight="false" outlineLevel="0" collapsed="false">
      <c r="A168" s="7"/>
      <c r="B168" s="7"/>
      <c r="C168" s="7"/>
      <c r="D168" s="7"/>
      <c r="E168" s="7"/>
      <c r="F168" s="7"/>
      <c r="G168" s="8"/>
      <c r="H168" s="9"/>
      <c r="I168" s="9"/>
      <c r="J168" s="9"/>
      <c r="K168" s="7"/>
      <c r="L168" s="7"/>
      <c r="M168" s="9" t="str">
        <f aca="false">IF(AND(H168&lt;&gt;"",I168&lt;&gt;"",K168&lt;&gt;""),ABS(H168-I168)*K168,"")</f>
        <v/>
      </c>
      <c r="N168" s="9"/>
      <c r="O168" s="7"/>
      <c r="P168" s="9" t="str">
        <f aca="false">IF(N168&lt;&gt;"",(N168-H168)*K168*IF(E168="Buy",1,-1),"")</f>
        <v/>
      </c>
      <c r="Q168" s="10" t="str">
        <f aca="false">IF(AND(P168&lt;&gt;"",H168&lt;&gt;0,K168&lt;&gt;0),P168/(H168*K168),"")</f>
        <v/>
      </c>
      <c r="R168" s="11" t="str">
        <f aca="false">IF(AND(N168&lt;&gt;"",H168&lt;&gt;I168),IF(E168="Buy",(N168-H168)/(H168-I168),(H168-N168)/(I168-H168)),"")</f>
        <v/>
      </c>
      <c r="S168" s="7" t="str">
        <f aca="false">IF(D168="","",IF(N168&lt;&gt;"","Closed","Open"))</f>
        <v/>
      </c>
      <c r="T168" s="7"/>
    </row>
    <row r="169" customFormat="false" ht="15" hidden="false" customHeight="false" outlineLevel="0" collapsed="false">
      <c r="A169" s="7"/>
      <c r="B169" s="7"/>
      <c r="C169" s="7"/>
      <c r="D169" s="7"/>
      <c r="E169" s="7"/>
      <c r="F169" s="7"/>
      <c r="G169" s="8"/>
      <c r="H169" s="9"/>
      <c r="I169" s="9"/>
      <c r="J169" s="9"/>
      <c r="K169" s="7"/>
      <c r="L169" s="7"/>
      <c r="M169" s="9" t="str">
        <f aca="false">IF(AND(H169&lt;&gt;"",I169&lt;&gt;"",K169&lt;&gt;""),ABS(H169-I169)*K169,"")</f>
        <v/>
      </c>
      <c r="N169" s="9"/>
      <c r="O169" s="7"/>
      <c r="P169" s="9" t="str">
        <f aca="false">IF(N169&lt;&gt;"",(N169-H169)*K169*IF(E169="Buy",1,-1),"")</f>
        <v/>
      </c>
      <c r="Q169" s="10" t="str">
        <f aca="false">IF(AND(P169&lt;&gt;"",H169&lt;&gt;0,K169&lt;&gt;0),P169/(H169*K169),"")</f>
        <v/>
      </c>
      <c r="R169" s="11" t="str">
        <f aca="false">IF(AND(N169&lt;&gt;"",H169&lt;&gt;I169),IF(E169="Buy",(N169-H169)/(H169-I169),(H169-N169)/(I169-H169)),"")</f>
        <v/>
      </c>
      <c r="S169" s="7" t="str">
        <f aca="false">IF(D169="","",IF(N169&lt;&gt;"","Closed","Open"))</f>
        <v/>
      </c>
      <c r="T169" s="7"/>
    </row>
    <row r="170" customFormat="false" ht="15" hidden="false" customHeight="false" outlineLevel="0" collapsed="false">
      <c r="A170" s="7"/>
      <c r="B170" s="7"/>
      <c r="C170" s="7"/>
      <c r="D170" s="7"/>
      <c r="E170" s="7"/>
      <c r="F170" s="7"/>
      <c r="G170" s="8"/>
      <c r="H170" s="9"/>
      <c r="I170" s="9"/>
      <c r="J170" s="9"/>
      <c r="K170" s="7"/>
      <c r="L170" s="7"/>
      <c r="M170" s="9" t="str">
        <f aca="false">IF(AND(H170&lt;&gt;"",I170&lt;&gt;"",K170&lt;&gt;""),ABS(H170-I170)*K170,"")</f>
        <v/>
      </c>
      <c r="N170" s="9"/>
      <c r="O170" s="7"/>
      <c r="P170" s="9" t="str">
        <f aca="false">IF(N170&lt;&gt;"",(N170-H170)*K170*IF(E170="Buy",1,-1),"")</f>
        <v/>
      </c>
      <c r="Q170" s="10" t="str">
        <f aca="false">IF(AND(P170&lt;&gt;"",H170&lt;&gt;0,K170&lt;&gt;0),P170/(H170*K170),"")</f>
        <v/>
      </c>
      <c r="R170" s="11" t="str">
        <f aca="false">IF(AND(N170&lt;&gt;"",H170&lt;&gt;I170),IF(E170="Buy",(N170-H170)/(H170-I170),(H170-N170)/(I170-H170)),"")</f>
        <v/>
      </c>
      <c r="S170" s="7" t="str">
        <f aca="false">IF(D170="","",IF(N170&lt;&gt;"","Closed","Open"))</f>
        <v/>
      </c>
      <c r="T170" s="7"/>
    </row>
    <row r="171" customFormat="false" ht="15" hidden="false" customHeight="false" outlineLevel="0" collapsed="false">
      <c r="A171" s="7"/>
      <c r="B171" s="7"/>
      <c r="C171" s="7"/>
      <c r="D171" s="7"/>
      <c r="E171" s="7"/>
      <c r="F171" s="7"/>
      <c r="G171" s="8"/>
      <c r="H171" s="9"/>
      <c r="I171" s="9"/>
      <c r="J171" s="9"/>
      <c r="K171" s="7"/>
      <c r="L171" s="7"/>
      <c r="M171" s="9" t="str">
        <f aca="false">IF(AND(H171&lt;&gt;"",I171&lt;&gt;"",K171&lt;&gt;""),ABS(H171-I171)*K171,"")</f>
        <v/>
      </c>
      <c r="N171" s="9"/>
      <c r="O171" s="7"/>
      <c r="P171" s="9" t="str">
        <f aca="false">IF(N171&lt;&gt;"",(N171-H171)*K171*IF(E171="Buy",1,-1),"")</f>
        <v/>
      </c>
      <c r="Q171" s="10" t="str">
        <f aca="false">IF(AND(P171&lt;&gt;"",H171&lt;&gt;0,K171&lt;&gt;0),P171/(H171*K171),"")</f>
        <v/>
      </c>
      <c r="R171" s="11" t="str">
        <f aca="false">IF(AND(N171&lt;&gt;"",H171&lt;&gt;I171),IF(E171="Buy",(N171-H171)/(H171-I171),(H171-N171)/(I171-H171)),"")</f>
        <v/>
      </c>
      <c r="S171" s="7" t="str">
        <f aca="false">IF(D171="","",IF(N171&lt;&gt;"","Closed","Open"))</f>
        <v/>
      </c>
      <c r="T171" s="7"/>
    </row>
    <row r="172" customFormat="false" ht="15" hidden="false" customHeight="false" outlineLevel="0" collapsed="false">
      <c r="A172" s="7"/>
      <c r="B172" s="7"/>
      <c r="C172" s="7"/>
      <c r="D172" s="7"/>
      <c r="E172" s="7"/>
      <c r="F172" s="7"/>
      <c r="G172" s="8"/>
      <c r="H172" s="9"/>
      <c r="I172" s="9"/>
      <c r="J172" s="9"/>
      <c r="K172" s="7"/>
      <c r="L172" s="7"/>
      <c r="M172" s="9" t="str">
        <f aca="false">IF(AND(H172&lt;&gt;"",I172&lt;&gt;"",K172&lt;&gt;""),ABS(H172-I172)*K172,"")</f>
        <v/>
      </c>
      <c r="N172" s="9"/>
      <c r="O172" s="7"/>
      <c r="P172" s="9" t="str">
        <f aca="false">IF(N172&lt;&gt;"",(N172-H172)*K172*IF(E172="Buy",1,-1),"")</f>
        <v/>
      </c>
      <c r="Q172" s="10" t="str">
        <f aca="false">IF(AND(P172&lt;&gt;"",H172&lt;&gt;0,K172&lt;&gt;0),P172/(H172*K172),"")</f>
        <v/>
      </c>
      <c r="R172" s="11" t="str">
        <f aca="false">IF(AND(N172&lt;&gt;"",H172&lt;&gt;I172),IF(E172="Buy",(N172-H172)/(H172-I172),(H172-N172)/(I172-H172)),"")</f>
        <v/>
      </c>
      <c r="S172" s="7" t="str">
        <f aca="false">IF(D172="","",IF(N172&lt;&gt;"","Closed","Open"))</f>
        <v/>
      </c>
      <c r="T172" s="7"/>
    </row>
    <row r="173" customFormat="false" ht="15" hidden="false" customHeight="false" outlineLevel="0" collapsed="false">
      <c r="A173" s="7"/>
      <c r="B173" s="7"/>
      <c r="C173" s="7"/>
      <c r="D173" s="7"/>
      <c r="E173" s="7"/>
      <c r="F173" s="7"/>
      <c r="G173" s="8"/>
      <c r="H173" s="9"/>
      <c r="I173" s="9"/>
      <c r="J173" s="9"/>
      <c r="K173" s="7"/>
      <c r="L173" s="7"/>
      <c r="M173" s="9" t="str">
        <f aca="false">IF(AND(H173&lt;&gt;"",I173&lt;&gt;"",K173&lt;&gt;""),ABS(H173-I173)*K173,"")</f>
        <v/>
      </c>
      <c r="N173" s="9"/>
      <c r="O173" s="7"/>
      <c r="P173" s="9" t="str">
        <f aca="false">IF(N173&lt;&gt;"",(N173-H173)*K173*IF(E173="Buy",1,-1),"")</f>
        <v/>
      </c>
      <c r="Q173" s="10" t="str">
        <f aca="false">IF(AND(P173&lt;&gt;"",H173&lt;&gt;0,K173&lt;&gt;0),P173/(H173*K173),"")</f>
        <v/>
      </c>
      <c r="R173" s="11" t="str">
        <f aca="false">IF(AND(N173&lt;&gt;"",H173&lt;&gt;I173),IF(E173="Buy",(N173-H173)/(H173-I173),(H173-N173)/(I173-H173)),"")</f>
        <v/>
      </c>
      <c r="S173" s="7" t="str">
        <f aca="false">IF(D173="","",IF(N173&lt;&gt;"","Closed","Open"))</f>
        <v/>
      </c>
      <c r="T173" s="7"/>
    </row>
    <row r="174" customFormat="false" ht="15" hidden="false" customHeight="false" outlineLevel="0" collapsed="false">
      <c r="A174" s="7"/>
      <c r="B174" s="7"/>
      <c r="C174" s="7"/>
      <c r="D174" s="7"/>
      <c r="E174" s="7"/>
      <c r="F174" s="7"/>
      <c r="G174" s="8"/>
      <c r="H174" s="9"/>
      <c r="I174" s="9"/>
      <c r="J174" s="9"/>
      <c r="K174" s="7"/>
      <c r="L174" s="7"/>
      <c r="M174" s="9" t="str">
        <f aca="false">IF(AND(H174&lt;&gt;"",I174&lt;&gt;"",K174&lt;&gt;""),ABS(H174-I174)*K174,"")</f>
        <v/>
      </c>
      <c r="N174" s="9"/>
      <c r="O174" s="7"/>
      <c r="P174" s="9" t="str">
        <f aca="false">IF(N174&lt;&gt;"",(N174-H174)*K174*IF(E174="Buy",1,-1),"")</f>
        <v/>
      </c>
      <c r="Q174" s="10" t="str">
        <f aca="false">IF(AND(P174&lt;&gt;"",H174&lt;&gt;0,K174&lt;&gt;0),P174/(H174*K174),"")</f>
        <v/>
      </c>
      <c r="R174" s="11" t="str">
        <f aca="false">IF(AND(N174&lt;&gt;"",H174&lt;&gt;I174),IF(E174="Buy",(N174-H174)/(H174-I174),(H174-N174)/(I174-H174)),"")</f>
        <v/>
      </c>
      <c r="S174" s="7" t="str">
        <f aca="false">IF(D174="","",IF(N174&lt;&gt;"","Closed","Open"))</f>
        <v/>
      </c>
      <c r="T174" s="7"/>
    </row>
    <row r="175" customFormat="false" ht="15" hidden="false" customHeight="false" outlineLevel="0" collapsed="false">
      <c r="A175" s="7"/>
      <c r="B175" s="7"/>
      <c r="C175" s="7"/>
      <c r="D175" s="7"/>
      <c r="E175" s="7"/>
      <c r="F175" s="7"/>
      <c r="G175" s="8"/>
      <c r="H175" s="9"/>
      <c r="I175" s="9"/>
      <c r="J175" s="9"/>
      <c r="K175" s="7"/>
      <c r="L175" s="7"/>
      <c r="M175" s="9" t="str">
        <f aca="false">IF(AND(H175&lt;&gt;"",I175&lt;&gt;"",K175&lt;&gt;""),ABS(H175-I175)*K175,"")</f>
        <v/>
      </c>
      <c r="N175" s="9"/>
      <c r="O175" s="7"/>
      <c r="P175" s="9" t="str">
        <f aca="false">IF(N175&lt;&gt;"",(N175-H175)*K175*IF(E175="Buy",1,-1),"")</f>
        <v/>
      </c>
      <c r="Q175" s="10" t="str">
        <f aca="false">IF(AND(P175&lt;&gt;"",H175&lt;&gt;0,K175&lt;&gt;0),P175/(H175*K175),"")</f>
        <v/>
      </c>
      <c r="R175" s="11" t="str">
        <f aca="false">IF(AND(N175&lt;&gt;"",H175&lt;&gt;I175),IF(E175="Buy",(N175-H175)/(H175-I175),(H175-N175)/(I175-H175)),"")</f>
        <v/>
      </c>
      <c r="S175" s="7" t="str">
        <f aca="false">IF(D175="","",IF(N175&lt;&gt;"","Closed","Open"))</f>
        <v/>
      </c>
      <c r="T175" s="7"/>
    </row>
    <row r="176" customFormat="false" ht="15" hidden="false" customHeight="false" outlineLevel="0" collapsed="false">
      <c r="A176" s="7"/>
      <c r="B176" s="7"/>
      <c r="C176" s="7"/>
      <c r="D176" s="7"/>
      <c r="E176" s="7"/>
      <c r="F176" s="7"/>
      <c r="G176" s="8"/>
      <c r="H176" s="9"/>
      <c r="I176" s="9"/>
      <c r="J176" s="9"/>
      <c r="K176" s="7"/>
      <c r="L176" s="7"/>
      <c r="M176" s="9" t="str">
        <f aca="false">IF(AND(H176&lt;&gt;"",I176&lt;&gt;"",K176&lt;&gt;""),ABS(H176-I176)*K176,"")</f>
        <v/>
      </c>
      <c r="N176" s="9"/>
      <c r="O176" s="7"/>
      <c r="P176" s="9" t="str">
        <f aca="false">IF(N176&lt;&gt;"",(N176-H176)*K176*IF(E176="Buy",1,-1),"")</f>
        <v/>
      </c>
      <c r="Q176" s="10" t="str">
        <f aca="false">IF(AND(P176&lt;&gt;"",H176&lt;&gt;0,K176&lt;&gt;0),P176/(H176*K176),"")</f>
        <v/>
      </c>
      <c r="R176" s="11" t="str">
        <f aca="false">IF(AND(N176&lt;&gt;"",H176&lt;&gt;I176),IF(E176="Buy",(N176-H176)/(H176-I176),(H176-N176)/(I176-H176)),"")</f>
        <v/>
      </c>
      <c r="S176" s="7" t="str">
        <f aca="false">IF(D176="","",IF(N176&lt;&gt;"","Closed","Open"))</f>
        <v/>
      </c>
      <c r="T176" s="7"/>
    </row>
    <row r="177" customFormat="false" ht="15" hidden="false" customHeight="false" outlineLevel="0" collapsed="false">
      <c r="A177" s="7"/>
      <c r="B177" s="7"/>
      <c r="C177" s="7"/>
      <c r="D177" s="7"/>
      <c r="E177" s="7"/>
      <c r="F177" s="7"/>
      <c r="G177" s="8"/>
      <c r="H177" s="9"/>
      <c r="I177" s="9"/>
      <c r="J177" s="9"/>
      <c r="K177" s="7"/>
      <c r="L177" s="7"/>
      <c r="M177" s="9" t="str">
        <f aca="false">IF(AND(H177&lt;&gt;"",I177&lt;&gt;"",K177&lt;&gt;""),ABS(H177-I177)*K177,"")</f>
        <v/>
      </c>
      <c r="N177" s="9"/>
      <c r="O177" s="7"/>
      <c r="P177" s="9" t="str">
        <f aca="false">IF(N177&lt;&gt;"",(N177-H177)*K177*IF(E177="Buy",1,-1),"")</f>
        <v/>
      </c>
      <c r="Q177" s="10" t="str">
        <f aca="false">IF(AND(P177&lt;&gt;"",H177&lt;&gt;0,K177&lt;&gt;0),P177/(H177*K177),"")</f>
        <v/>
      </c>
      <c r="R177" s="11" t="str">
        <f aca="false">IF(AND(N177&lt;&gt;"",H177&lt;&gt;I177),IF(E177="Buy",(N177-H177)/(H177-I177),(H177-N177)/(I177-H177)),"")</f>
        <v/>
      </c>
      <c r="S177" s="7" t="str">
        <f aca="false">IF(D177="","",IF(N177&lt;&gt;"","Closed","Open"))</f>
        <v/>
      </c>
      <c r="T177" s="7"/>
    </row>
    <row r="178" customFormat="false" ht="15" hidden="false" customHeight="false" outlineLevel="0" collapsed="false">
      <c r="A178" s="7"/>
      <c r="B178" s="7"/>
      <c r="C178" s="7"/>
      <c r="D178" s="7"/>
      <c r="E178" s="7"/>
      <c r="F178" s="7"/>
      <c r="G178" s="8"/>
      <c r="H178" s="9"/>
      <c r="I178" s="9"/>
      <c r="J178" s="9"/>
      <c r="K178" s="7"/>
      <c r="L178" s="7"/>
      <c r="M178" s="9" t="str">
        <f aca="false">IF(AND(H178&lt;&gt;"",I178&lt;&gt;"",K178&lt;&gt;""),ABS(H178-I178)*K178,"")</f>
        <v/>
      </c>
      <c r="N178" s="9"/>
      <c r="O178" s="7"/>
      <c r="P178" s="9" t="str">
        <f aca="false">IF(N178&lt;&gt;"",(N178-H178)*K178*IF(E178="Buy",1,-1),"")</f>
        <v/>
      </c>
      <c r="Q178" s="10" t="str">
        <f aca="false">IF(AND(P178&lt;&gt;"",H178&lt;&gt;0,K178&lt;&gt;0),P178/(H178*K178),"")</f>
        <v/>
      </c>
      <c r="R178" s="11" t="str">
        <f aca="false">IF(AND(N178&lt;&gt;"",H178&lt;&gt;I178),IF(E178="Buy",(N178-H178)/(H178-I178),(H178-N178)/(I178-H178)),"")</f>
        <v/>
      </c>
      <c r="S178" s="7" t="str">
        <f aca="false">IF(D178="","",IF(N178&lt;&gt;"","Closed","Open"))</f>
        <v/>
      </c>
      <c r="T178" s="7"/>
    </row>
    <row r="179" customFormat="false" ht="15" hidden="false" customHeight="false" outlineLevel="0" collapsed="false">
      <c r="A179" s="7"/>
      <c r="B179" s="7"/>
      <c r="C179" s="7"/>
      <c r="D179" s="7"/>
      <c r="E179" s="7"/>
      <c r="F179" s="7"/>
      <c r="G179" s="8"/>
      <c r="H179" s="9"/>
      <c r="I179" s="9"/>
      <c r="J179" s="9"/>
      <c r="K179" s="7"/>
      <c r="L179" s="7"/>
      <c r="M179" s="9" t="str">
        <f aca="false">IF(AND(H179&lt;&gt;"",I179&lt;&gt;"",K179&lt;&gt;""),ABS(H179-I179)*K179,"")</f>
        <v/>
      </c>
      <c r="N179" s="9"/>
      <c r="O179" s="7"/>
      <c r="P179" s="9" t="str">
        <f aca="false">IF(N179&lt;&gt;"",(N179-H179)*K179*IF(E179="Buy",1,-1),"")</f>
        <v/>
      </c>
      <c r="Q179" s="10" t="str">
        <f aca="false">IF(AND(P179&lt;&gt;"",H179&lt;&gt;0,K179&lt;&gt;0),P179/(H179*K179),"")</f>
        <v/>
      </c>
      <c r="R179" s="11" t="str">
        <f aca="false">IF(AND(N179&lt;&gt;"",H179&lt;&gt;I179),IF(E179="Buy",(N179-H179)/(H179-I179),(H179-N179)/(I179-H179)),"")</f>
        <v/>
      </c>
      <c r="S179" s="7" t="str">
        <f aca="false">IF(D179="","",IF(N179&lt;&gt;"","Closed","Open"))</f>
        <v/>
      </c>
      <c r="T179" s="7"/>
    </row>
    <row r="180" customFormat="false" ht="15" hidden="false" customHeight="false" outlineLevel="0" collapsed="false">
      <c r="A180" s="7"/>
      <c r="B180" s="7"/>
      <c r="C180" s="7"/>
      <c r="D180" s="7"/>
      <c r="E180" s="7"/>
      <c r="F180" s="7"/>
      <c r="G180" s="8"/>
      <c r="H180" s="9"/>
      <c r="I180" s="9"/>
      <c r="J180" s="9"/>
      <c r="K180" s="7"/>
      <c r="L180" s="7"/>
      <c r="M180" s="9" t="str">
        <f aca="false">IF(AND(H180&lt;&gt;"",I180&lt;&gt;"",K180&lt;&gt;""),ABS(H180-I180)*K180,"")</f>
        <v/>
      </c>
      <c r="N180" s="9"/>
      <c r="O180" s="7"/>
      <c r="P180" s="9" t="str">
        <f aca="false">IF(N180&lt;&gt;"",(N180-H180)*K180*IF(E180="Buy",1,-1),"")</f>
        <v/>
      </c>
      <c r="Q180" s="10" t="str">
        <f aca="false">IF(AND(P180&lt;&gt;"",H180&lt;&gt;0,K180&lt;&gt;0),P180/(H180*K180),"")</f>
        <v/>
      </c>
      <c r="R180" s="11" t="str">
        <f aca="false">IF(AND(N180&lt;&gt;"",H180&lt;&gt;I180),IF(E180="Buy",(N180-H180)/(H180-I180),(H180-N180)/(I180-H180)),"")</f>
        <v/>
      </c>
      <c r="S180" s="7" t="str">
        <f aca="false">IF(D180="","",IF(N180&lt;&gt;"","Closed","Open"))</f>
        <v/>
      </c>
      <c r="T180" s="7"/>
    </row>
    <row r="181" customFormat="false" ht="15" hidden="false" customHeight="false" outlineLevel="0" collapsed="false">
      <c r="A181" s="7"/>
      <c r="B181" s="7"/>
      <c r="C181" s="7"/>
      <c r="D181" s="7"/>
      <c r="E181" s="7"/>
      <c r="F181" s="7"/>
      <c r="G181" s="8"/>
      <c r="H181" s="9"/>
      <c r="I181" s="9"/>
      <c r="J181" s="9"/>
      <c r="K181" s="7"/>
      <c r="L181" s="7"/>
      <c r="M181" s="9" t="str">
        <f aca="false">IF(AND(H181&lt;&gt;"",I181&lt;&gt;"",K181&lt;&gt;""),ABS(H181-I181)*K181,"")</f>
        <v/>
      </c>
      <c r="N181" s="9"/>
      <c r="O181" s="7"/>
      <c r="P181" s="9" t="str">
        <f aca="false">IF(N181&lt;&gt;"",(N181-H181)*K181*IF(E181="Buy",1,-1),"")</f>
        <v/>
      </c>
      <c r="Q181" s="10" t="str">
        <f aca="false">IF(AND(P181&lt;&gt;"",H181&lt;&gt;0,K181&lt;&gt;0),P181/(H181*K181),"")</f>
        <v/>
      </c>
      <c r="R181" s="11" t="str">
        <f aca="false">IF(AND(N181&lt;&gt;"",H181&lt;&gt;I181),IF(E181="Buy",(N181-H181)/(H181-I181),(H181-N181)/(I181-H181)),"")</f>
        <v/>
      </c>
      <c r="S181" s="7" t="str">
        <f aca="false">IF(D181="","",IF(N181&lt;&gt;"","Closed","Open"))</f>
        <v/>
      </c>
      <c r="T181" s="7"/>
    </row>
    <row r="182" customFormat="false" ht="15" hidden="false" customHeight="false" outlineLevel="0" collapsed="false">
      <c r="A182" s="7"/>
      <c r="B182" s="7"/>
      <c r="C182" s="7"/>
      <c r="D182" s="7"/>
      <c r="E182" s="7"/>
      <c r="F182" s="7"/>
      <c r="G182" s="8"/>
      <c r="H182" s="9"/>
      <c r="I182" s="9"/>
      <c r="J182" s="9"/>
      <c r="K182" s="7"/>
      <c r="L182" s="7"/>
      <c r="M182" s="9" t="str">
        <f aca="false">IF(AND(H182&lt;&gt;"",I182&lt;&gt;"",K182&lt;&gt;""),ABS(H182-I182)*K182,"")</f>
        <v/>
      </c>
      <c r="N182" s="9"/>
      <c r="O182" s="7"/>
      <c r="P182" s="9" t="str">
        <f aca="false">IF(N182&lt;&gt;"",(N182-H182)*K182*IF(E182="Buy",1,-1),"")</f>
        <v/>
      </c>
      <c r="Q182" s="10" t="str">
        <f aca="false">IF(AND(P182&lt;&gt;"",H182&lt;&gt;0,K182&lt;&gt;0),P182/(H182*K182),"")</f>
        <v/>
      </c>
      <c r="R182" s="11" t="str">
        <f aca="false">IF(AND(N182&lt;&gt;"",H182&lt;&gt;I182),IF(E182="Buy",(N182-H182)/(H182-I182),(H182-N182)/(I182-H182)),"")</f>
        <v/>
      </c>
      <c r="S182" s="7" t="str">
        <f aca="false">IF(D182="","",IF(N182&lt;&gt;"","Closed","Open"))</f>
        <v/>
      </c>
      <c r="T182" s="7"/>
    </row>
    <row r="183" customFormat="false" ht="15" hidden="false" customHeight="false" outlineLevel="0" collapsed="false">
      <c r="A183" s="7"/>
      <c r="B183" s="7"/>
      <c r="C183" s="7"/>
      <c r="D183" s="7"/>
      <c r="E183" s="7"/>
      <c r="F183" s="7"/>
      <c r="G183" s="8"/>
      <c r="H183" s="9"/>
      <c r="I183" s="9"/>
      <c r="J183" s="9"/>
      <c r="K183" s="7"/>
      <c r="L183" s="7"/>
      <c r="M183" s="9" t="str">
        <f aca="false">IF(AND(H183&lt;&gt;"",I183&lt;&gt;"",K183&lt;&gt;""),ABS(H183-I183)*K183,"")</f>
        <v/>
      </c>
      <c r="N183" s="9"/>
      <c r="O183" s="7"/>
      <c r="P183" s="9" t="str">
        <f aca="false">IF(N183&lt;&gt;"",(N183-H183)*K183*IF(E183="Buy",1,-1),"")</f>
        <v/>
      </c>
      <c r="Q183" s="10" t="str">
        <f aca="false">IF(AND(P183&lt;&gt;"",H183&lt;&gt;0,K183&lt;&gt;0),P183/(H183*K183),"")</f>
        <v/>
      </c>
      <c r="R183" s="11" t="str">
        <f aca="false">IF(AND(N183&lt;&gt;"",H183&lt;&gt;I183),IF(E183="Buy",(N183-H183)/(H183-I183),(H183-N183)/(I183-H183)),"")</f>
        <v/>
      </c>
      <c r="S183" s="7" t="str">
        <f aca="false">IF(D183="","",IF(N183&lt;&gt;"","Closed","Open"))</f>
        <v/>
      </c>
      <c r="T183" s="7"/>
    </row>
    <row r="184" customFormat="false" ht="15" hidden="false" customHeight="false" outlineLevel="0" collapsed="false">
      <c r="A184" s="7"/>
      <c r="B184" s="7"/>
      <c r="C184" s="7"/>
      <c r="D184" s="7"/>
      <c r="E184" s="7"/>
      <c r="F184" s="7"/>
      <c r="G184" s="8"/>
      <c r="H184" s="9"/>
      <c r="I184" s="9"/>
      <c r="J184" s="9"/>
      <c r="K184" s="7"/>
      <c r="L184" s="7"/>
      <c r="M184" s="9" t="str">
        <f aca="false">IF(AND(H184&lt;&gt;"",I184&lt;&gt;"",K184&lt;&gt;""),ABS(H184-I184)*K184,"")</f>
        <v/>
      </c>
      <c r="N184" s="9"/>
      <c r="O184" s="7"/>
      <c r="P184" s="9" t="str">
        <f aca="false">IF(N184&lt;&gt;"",(N184-H184)*K184*IF(E184="Buy",1,-1),"")</f>
        <v/>
      </c>
      <c r="Q184" s="10" t="str">
        <f aca="false">IF(AND(P184&lt;&gt;"",H184&lt;&gt;0,K184&lt;&gt;0),P184/(H184*K184),"")</f>
        <v/>
      </c>
      <c r="R184" s="11" t="str">
        <f aca="false">IF(AND(N184&lt;&gt;"",H184&lt;&gt;I184),IF(E184="Buy",(N184-H184)/(H184-I184),(H184-N184)/(I184-H184)),"")</f>
        <v/>
      </c>
      <c r="S184" s="7" t="str">
        <f aca="false">IF(D184="","",IF(N184&lt;&gt;"","Closed","Open"))</f>
        <v/>
      </c>
      <c r="T184" s="7"/>
    </row>
    <row r="185" customFormat="false" ht="15" hidden="false" customHeight="false" outlineLevel="0" collapsed="false">
      <c r="A185" s="7"/>
      <c r="B185" s="7"/>
      <c r="C185" s="7"/>
      <c r="D185" s="7"/>
      <c r="E185" s="7"/>
      <c r="F185" s="7"/>
      <c r="G185" s="8"/>
      <c r="H185" s="9"/>
      <c r="I185" s="9"/>
      <c r="J185" s="9"/>
      <c r="K185" s="7"/>
      <c r="L185" s="7"/>
      <c r="M185" s="9" t="str">
        <f aca="false">IF(AND(H185&lt;&gt;"",I185&lt;&gt;"",K185&lt;&gt;""),ABS(H185-I185)*K185,"")</f>
        <v/>
      </c>
      <c r="N185" s="9"/>
      <c r="O185" s="7"/>
      <c r="P185" s="9" t="str">
        <f aca="false">IF(N185&lt;&gt;"",(N185-H185)*K185*IF(E185="Buy",1,-1),"")</f>
        <v/>
      </c>
      <c r="Q185" s="10" t="str">
        <f aca="false">IF(AND(P185&lt;&gt;"",H185&lt;&gt;0,K185&lt;&gt;0),P185/(H185*K185),"")</f>
        <v/>
      </c>
      <c r="R185" s="11" t="str">
        <f aca="false">IF(AND(N185&lt;&gt;"",H185&lt;&gt;I185),IF(E185="Buy",(N185-H185)/(H185-I185),(H185-N185)/(I185-H185)),"")</f>
        <v/>
      </c>
      <c r="S185" s="7" t="str">
        <f aca="false">IF(D185="","",IF(N185&lt;&gt;"","Closed","Open"))</f>
        <v/>
      </c>
      <c r="T185" s="7"/>
    </row>
    <row r="186" customFormat="false" ht="15" hidden="false" customHeight="false" outlineLevel="0" collapsed="false">
      <c r="A186" s="7"/>
      <c r="B186" s="7"/>
      <c r="C186" s="7"/>
      <c r="D186" s="7"/>
      <c r="E186" s="7"/>
      <c r="F186" s="7"/>
      <c r="G186" s="8"/>
      <c r="H186" s="9"/>
      <c r="I186" s="9"/>
      <c r="J186" s="9"/>
      <c r="K186" s="7"/>
      <c r="L186" s="7"/>
      <c r="M186" s="9" t="str">
        <f aca="false">IF(AND(H186&lt;&gt;"",I186&lt;&gt;"",K186&lt;&gt;""),ABS(H186-I186)*K186,"")</f>
        <v/>
      </c>
      <c r="N186" s="9"/>
      <c r="O186" s="7"/>
      <c r="P186" s="9" t="str">
        <f aca="false">IF(N186&lt;&gt;"",(N186-H186)*K186*IF(E186="Buy",1,-1),"")</f>
        <v/>
      </c>
      <c r="Q186" s="10" t="str">
        <f aca="false">IF(AND(P186&lt;&gt;"",H186&lt;&gt;0,K186&lt;&gt;0),P186/(H186*K186),"")</f>
        <v/>
      </c>
      <c r="R186" s="11" t="str">
        <f aca="false">IF(AND(N186&lt;&gt;"",H186&lt;&gt;I186),IF(E186="Buy",(N186-H186)/(H186-I186),(H186-N186)/(I186-H186)),"")</f>
        <v/>
      </c>
      <c r="S186" s="7" t="str">
        <f aca="false">IF(D186="","",IF(N186&lt;&gt;"","Closed","Open"))</f>
        <v/>
      </c>
      <c r="T186" s="7"/>
    </row>
    <row r="187" customFormat="false" ht="15" hidden="false" customHeight="false" outlineLevel="0" collapsed="false">
      <c r="A187" s="7"/>
      <c r="B187" s="7"/>
      <c r="C187" s="7"/>
      <c r="D187" s="7"/>
      <c r="E187" s="7"/>
      <c r="F187" s="7"/>
      <c r="G187" s="8"/>
      <c r="H187" s="9"/>
      <c r="I187" s="9"/>
      <c r="J187" s="9"/>
      <c r="K187" s="7"/>
      <c r="L187" s="7"/>
      <c r="M187" s="9" t="str">
        <f aca="false">IF(AND(H187&lt;&gt;"",I187&lt;&gt;"",K187&lt;&gt;""),ABS(H187-I187)*K187,"")</f>
        <v/>
      </c>
      <c r="N187" s="9"/>
      <c r="O187" s="7"/>
      <c r="P187" s="9" t="str">
        <f aca="false">IF(N187&lt;&gt;"",(N187-H187)*K187*IF(E187="Buy",1,-1),"")</f>
        <v/>
      </c>
      <c r="Q187" s="10" t="str">
        <f aca="false">IF(AND(P187&lt;&gt;"",H187&lt;&gt;0,K187&lt;&gt;0),P187/(H187*K187),"")</f>
        <v/>
      </c>
      <c r="R187" s="11" t="str">
        <f aca="false">IF(AND(N187&lt;&gt;"",H187&lt;&gt;I187),IF(E187="Buy",(N187-H187)/(H187-I187),(H187-N187)/(I187-H187)),"")</f>
        <v/>
      </c>
      <c r="S187" s="7" t="str">
        <f aca="false">IF(D187="","",IF(N187&lt;&gt;"","Closed","Open"))</f>
        <v/>
      </c>
      <c r="T187" s="7"/>
    </row>
    <row r="188" customFormat="false" ht="15" hidden="false" customHeight="false" outlineLevel="0" collapsed="false">
      <c r="A188" s="7"/>
      <c r="B188" s="7"/>
      <c r="C188" s="7"/>
      <c r="D188" s="7"/>
      <c r="E188" s="7"/>
      <c r="F188" s="7"/>
      <c r="G188" s="8"/>
      <c r="H188" s="9"/>
      <c r="I188" s="9"/>
      <c r="J188" s="9"/>
      <c r="K188" s="7"/>
      <c r="L188" s="7"/>
      <c r="M188" s="9" t="str">
        <f aca="false">IF(AND(H188&lt;&gt;"",I188&lt;&gt;"",K188&lt;&gt;""),ABS(H188-I188)*K188,"")</f>
        <v/>
      </c>
      <c r="N188" s="9"/>
      <c r="O188" s="7"/>
      <c r="P188" s="9" t="str">
        <f aca="false">IF(N188&lt;&gt;"",(N188-H188)*K188*IF(E188="Buy",1,-1),"")</f>
        <v/>
      </c>
      <c r="Q188" s="10" t="str">
        <f aca="false">IF(AND(P188&lt;&gt;"",H188&lt;&gt;0,K188&lt;&gt;0),P188/(H188*K188),"")</f>
        <v/>
      </c>
      <c r="R188" s="11" t="str">
        <f aca="false">IF(AND(N188&lt;&gt;"",H188&lt;&gt;I188),IF(E188="Buy",(N188-H188)/(H188-I188),(H188-N188)/(I188-H188)),"")</f>
        <v/>
      </c>
      <c r="S188" s="7" t="str">
        <f aca="false">IF(D188="","",IF(N188&lt;&gt;"","Closed","Open"))</f>
        <v/>
      </c>
      <c r="T188" s="7"/>
    </row>
    <row r="189" customFormat="false" ht="15" hidden="false" customHeight="false" outlineLevel="0" collapsed="false">
      <c r="A189" s="7"/>
      <c r="B189" s="7"/>
      <c r="C189" s="7"/>
      <c r="D189" s="7"/>
      <c r="E189" s="7"/>
      <c r="F189" s="7"/>
      <c r="G189" s="8"/>
      <c r="H189" s="9"/>
      <c r="I189" s="9"/>
      <c r="J189" s="9"/>
      <c r="K189" s="7"/>
      <c r="L189" s="7"/>
      <c r="M189" s="9" t="str">
        <f aca="false">IF(AND(H189&lt;&gt;"",I189&lt;&gt;"",K189&lt;&gt;""),ABS(H189-I189)*K189,"")</f>
        <v/>
      </c>
      <c r="N189" s="9"/>
      <c r="O189" s="7"/>
      <c r="P189" s="9" t="str">
        <f aca="false">IF(N189&lt;&gt;"",(N189-H189)*K189*IF(E189="Buy",1,-1),"")</f>
        <v/>
      </c>
      <c r="Q189" s="10" t="str">
        <f aca="false">IF(AND(P189&lt;&gt;"",H189&lt;&gt;0,K189&lt;&gt;0),P189/(H189*K189),"")</f>
        <v/>
      </c>
      <c r="R189" s="11" t="str">
        <f aca="false">IF(AND(N189&lt;&gt;"",H189&lt;&gt;I189),IF(E189="Buy",(N189-H189)/(H189-I189),(H189-N189)/(I189-H189)),"")</f>
        <v/>
      </c>
      <c r="S189" s="7" t="str">
        <f aca="false">IF(D189="","",IF(N189&lt;&gt;"","Closed","Open"))</f>
        <v/>
      </c>
      <c r="T189" s="7"/>
    </row>
    <row r="190" customFormat="false" ht="15" hidden="false" customHeight="false" outlineLevel="0" collapsed="false">
      <c r="A190" s="7"/>
      <c r="B190" s="7"/>
      <c r="C190" s="7"/>
      <c r="D190" s="7"/>
      <c r="E190" s="7"/>
      <c r="F190" s="7"/>
      <c r="G190" s="8"/>
      <c r="H190" s="9"/>
      <c r="I190" s="9"/>
      <c r="J190" s="9"/>
      <c r="K190" s="7"/>
      <c r="L190" s="7"/>
      <c r="M190" s="9" t="str">
        <f aca="false">IF(AND(H190&lt;&gt;"",I190&lt;&gt;"",K190&lt;&gt;""),ABS(H190-I190)*K190,"")</f>
        <v/>
      </c>
      <c r="N190" s="9"/>
      <c r="O190" s="7"/>
      <c r="P190" s="9" t="str">
        <f aca="false">IF(N190&lt;&gt;"",(N190-H190)*K190*IF(E190="Buy",1,-1),"")</f>
        <v/>
      </c>
      <c r="Q190" s="10" t="str">
        <f aca="false">IF(AND(P190&lt;&gt;"",H190&lt;&gt;0,K190&lt;&gt;0),P190/(H190*K190),"")</f>
        <v/>
      </c>
      <c r="R190" s="11" t="str">
        <f aca="false">IF(AND(N190&lt;&gt;"",H190&lt;&gt;I190),IF(E190="Buy",(N190-H190)/(H190-I190),(H190-N190)/(I190-H190)),"")</f>
        <v/>
      </c>
      <c r="S190" s="7" t="str">
        <f aca="false">IF(D190="","",IF(N190&lt;&gt;"","Closed","Open"))</f>
        <v/>
      </c>
      <c r="T190" s="7"/>
    </row>
    <row r="191" customFormat="false" ht="15" hidden="false" customHeight="false" outlineLevel="0" collapsed="false">
      <c r="A191" s="7"/>
      <c r="B191" s="7"/>
      <c r="C191" s="7"/>
      <c r="D191" s="7"/>
      <c r="E191" s="7"/>
      <c r="F191" s="7"/>
      <c r="G191" s="8"/>
      <c r="H191" s="9"/>
      <c r="I191" s="9"/>
      <c r="J191" s="9"/>
      <c r="K191" s="7"/>
      <c r="L191" s="7"/>
      <c r="M191" s="9" t="str">
        <f aca="false">IF(AND(H191&lt;&gt;"",I191&lt;&gt;"",K191&lt;&gt;""),ABS(H191-I191)*K191,"")</f>
        <v/>
      </c>
      <c r="N191" s="9"/>
      <c r="O191" s="7"/>
      <c r="P191" s="9" t="str">
        <f aca="false">IF(N191&lt;&gt;"",(N191-H191)*K191*IF(E191="Buy",1,-1),"")</f>
        <v/>
      </c>
      <c r="Q191" s="10" t="str">
        <f aca="false">IF(AND(P191&lt;&gt;"",H191&lt;&gt;0,K191&lt;&gt;0),P191/(H191*K191),"")</f>
        <v/>
      </c>
      <c r="R191" s="11" t="str">
        <f aca="false">IF(AND(N191&lt;&gt;"",H191&lt;&gt;I191),IF(E191="Buy",(N191-H191)/(H191-I191),(H191-N191)/(I191-H191)),"")</f>
        <v/>
      </c>
      <c r="S191" s="7" t="str">
        <f aca="false">IF(D191="","",IF(N191&lt;&gt;"","Closed","Open"))</f>
        <v/>
      </c>
      <c r="T191" s="7"/>
    </row>
    <row r="192" customFormat="false" ht="15" hidden="false" customHeight="false" outlineLevel="0" collapsed="false">
      <c r="A192" s="7"/>
      <c r="B192" s="7"/>
      <c r="C192" s="7"/>
      <c r="D192" s="7"/>
      <c r="E192" s="7"/>
      <c r="F192" s="7"/>
      <c r="G192" s="8"/>
      <c r="H192" s="9"/>
      <c r="I192" s="9"/>
      <c r="J192" s="9"/>
      <c r="K192" s="7"/>
      <c r="L192" s="7"/>
      <c r="M192" s="9" t="str">
        <f aca="false">IF(AND(H192&lt;&gt;"",I192&lt;&gt;"",K192&lt;&gt;""),ABS(H192-I192)*K192,"")</f>
        <v/>
      </c>
      <c r="N192" s="9"/>
      <c r="O192" s="7"/>
      <c r="P192" s="9" t="str">
        <f aca="false">IF(N192&lt;&gt;"",(N192-H192)*K192*IF(E192="Buy",1,-1),"")</f>
        <v/>
      </c>
      <c r="Q192" s="10" t="str">
        <f aca="false">IF(AND(P192&lt;&gt;"",H192&lt;&gt;0,K192&lt;&gt;0),P192/(H192*K192),"")</f>
        <v/>
      </c>
      <c r="R192" s="11" t="str">
        <f aca="false">IF(AND(N192&lt;&gt;"",H192&lt;&gt;I192),IF(E192="Buy",(N192-H192)/(H192-I192),(H192-N192)/(I192-H192)),"")</f>
        <v/>
      </c>
      <c r="S192" s="7" t="str">
        <f aca="false">IF(D192="","",IF(N192&lt;&gt;"","Closed","Open"))</f>
        <v/>
      </c>
      <c r="T192" s="7"/>
    </row>
    <row r="193" customFormat="false" ht="15" hidden="false" customHeight="false" outlineLevel="0" collapsed="false">
      <c r="A193" s="7"/>
      <c r="B193" s="7"/>
      <c r="C193" s="7"/>
      <c r="D193" s="7"/>
      <c r="E193" s="7"/>
      <c r="F193" s="7"/>
      <c r="G193" s="8"/>
      <c r="H193" s="9"/>
      <c r="I193" s="9"/>
      <c r="J193" s="9"/>
      <c r="K193" s="7"/>
      <c r="L193" s="7"/>
      <c r="M193" s="9" t="str">
        <f aca="false">IF(AND(H193&lt;&gt;"",I193&lt;&gt;"",K193&lt;&gt;""),ABS(H193-I193)*K193,"")</f>
        <v/>
      </c>
      <c r="N193" s="9"/>
      <c r="O193" s="7"/>
      <c r="P193" s="9" t="str">
        <f aca="false">IF(N193&lt;&gt;"",(N193-H193)*K193*IF(E193="Buy",1,-1),"")</f>
        <v/>
      </c>
      <c r="Q193" s="10" t="str">
        <f aca="false">IF(AND(P193&lt;&gt;"",H193&lt;&gt;0,K193&lt;&gt;0),P193/(H193*K193),"")</f>
        <v/>
      </c>
      <c r="R193" s="11" t="str">
        <f aca="false">IF(AND(N193&lt;&gt;"",H193&lt;&gt;I193),IF(E193="Buy",(N193-H193)/(H193-I193),(H193-N193)/(I193-H193)),"")</f>
        <v/>
      </c>
      <c r="S193" s="7" t="str">
        <f aca="false">IF(D193="","",IF(N193&lt;&gt;"","Closed","Open"))</f>
        <v/>
      </c>
      <c r="T193" s="7"/>
    </row>
    <row r="194" customFormat="false" ht="15" hidden="false" customHeight="false" outlineLevel="0" collapsed="false">
      <c r="A194" s="7"/>
      <c r="B194" s="7"/>
      <c r="C194" s="7"/>
      <c r="D194" s="7"/>
      <c r="E194" s="7"/>
      <c r="F194" s="7"/>
      <c r="G194" s="8"/>
      <c r="H194" s="9"/>
      <c r="I194" s="9"/>
      <c r="J194" s="9"/>
      <c r="K194" s="7"/>
      <c r="L194" s="7"/>
      <c r="M194" s="9" t="str">
        <f aca="false">IF(AND(H194&lt;&gt;"",I194&lt;&gt;"",K194&lt;&gt;""),ABS(H194-I194)*K194,"")</f>
        <v/>
      </c>
      <c r="N194" s="9"/>
      <c r="O194" s="7"/>
      <c r="P194" s="9" t="str">
        <f aca="false">IF(N194&lt;&gt;"",(N194-H194)*K194*IF(E194="Buy",1,-1),"")</f>
        <v/>
      </c>
      <c r="Q194" s="10" t="str">
        <f aca="false">IF(AND(P194&lt;&gt;"",H194&lt;&gt;0,K194&lt;&gt;0),P194/(H194*K194),"")</f>
        <v/>
      </c>
      <c r="R194" s="11" t="str">
        <f aca="false">IF(AND(N194&lt;&gt;"",H194&lt;&gt;I194),IF(E194="Buy",(N194-H194)/(H194-I194),(H194-N194)/(I194-H194)),"")</f>
        <v/>
      </c>
      <c r="S194" s="7" t="str">
        <f aca="false">IF(D194="","",IF(N194&lt;&gt;"","Closed","Open"))</f>
        <v/>
      </c>
      <c r="T194" s="7"/>
    </row>
    <row r="195" customFormat="false" ht="15" hidden="false" customHeight="false" outlineLevel="0" collapsed="false">
      <c r="A195" s="7"/>
      <c r="B195" s="7"/>
      <c r="C195" s="7"/>
      <c r="D195" s="7"/>
      <c r="E195" s="7"/>
      <c r="F195" s="7"/>
      <c r="G195" s="8"/>
      <c r="H195" s="9"/>
      <c r="I195" s="9"/>
      <c r="J195" s="9"/>
      <c r="K195" s="7"/>
      <c r="L195" s="7"/>
      <c r="M195" s="9" t="str">
        <f aca="false">IF(AND(H195&lt;&gt;"",I195&lt;&gt;"",K195&lt;&gt;""),ABS(H195-I195)*K195,"")</f>
        <v/>
      </c>
      <c r="N195" s="9"/>
      <c r="O195" s="7"/>
      <c r="P195" s="9" t="str">
        <f aca="false">IF(N195&lt;&gt;"",(N195-H195)*K195*IF(E195="Buy",1,-1),"")</f>
        <v/>
      </c>
      <c r="Q195" s="10" t="str">
        <f aca="false">IF(AND(P195&lt;&gt;"",H195&lt;&gt;0,K195&lt;&gt;0),P195/(H195*K195),"")</f>
        <v/>
      </c>
      <c r="R195" s="11" t="str">
        <f aca="false">IF(AND(N195&lt;&gt;"",H195&lt;&gt;I195),IF(E195="Buy",(N195-H195)/(H195-I195),(H195-N195)/(I195-H195)),"")</f>
        <v/>
      </c>
      <c r="S195" s="7" t="str">
        <f aca="false">IF(D195="","",IF(N195&lt;&gt;"","Closed","Open"))</f>
        <v/>
      </c>
      <c r="T195" s="7"/>
    </row>
    <row r="196" customFormat="false" ht="15" hidden="false" customHeight="false" outlineLevel="0" collapsed="false">
      <c r="A196" s="7"/>
      <c r="B196" s="7"/>
      <c r="C196" s="7"/>
      <c r="D196" s="7"/>
      <c r="E196" s="7"/>
      <c r="F196" s="7"/>
      <c r="G196" s="8"/>
      <c r="H196" s="9"/>
      <c r="I196" s="9"/>
      <c r="J196" s="9"/>
      <c r="K196" s="7"/>
      <c r="L196" s="7"/>
      <c r="M196" s="9" t="str">
        <f aca="false">IF(AND(H196&lt;&gt;"",I196&lt;&gt;"",K196&lt;&gt;""),ABS(H196-I196)*K196,"")</f>
        <v/>
      </c>
      <c r="N196" s="9"/>
      <c r="O196" s="7"/>
      <c r="P196" s="9" t="str">
        <f aca="false">IF(N196&lt;&gt;"",(N196-H196)*K196*IF(E196="Buy",1,-1),"")</f>
        <v/>
      </c>
      <c r="Q196" s="10" t="str">
        <f aca="false">IF(AND(P196&lt;&gt;"",H196&lt;&gt;0,K196&lt;&gt;0),P196/(H196*K196),"")</f>
        <v/>
      </c>
      <c r="R196" s="11" t="str">
        <f aca="false">IF(AND(N196&lt;&gt;"",H196&lt;&gt;I196),IF(E196="Buy",(N196-H196)/(H196-I196),(H196-N196)/(I196-H196)),"")</f>
        <v/>
      </c>
      <c r="S196" s="7" t="str">
        <f aca="false">IF(D196="","",IF(N196&lt;&gt;"","Closed","Open"))</f>
        <v/>
      </c>
      <c r="T196" s="7"/>
    </row>
    <row r="197" customFormat="false" ht="15" hidden="false" customHeight="false" outlineLevel="0" collapsed="false">
      <c r="A197" s="7"/>
      <c r="B197" s="7"/>
      <c r="C197" s="7"/>
      <c r="D197" s="7"/>
      <c r="E197" s="7"/>
      <c r="F197" s="7"/>
      <c r="G197" s="8"/>
      <c r="H197" s="9"/>
      <c r="I197" s="9"/>
      <c r="J197" s="9"/>
      <c r="K197" s="7"/>
      <c r="L197" s="7"/>
      <c r="M197" s="9" t="str">
        <f aca="false">IF(AND(H197&lt;&gt;"",I197&lt;&gt;"",K197&lt;&gt;""),ABS(H197-I197)*K197,"")</f>
        <v/>
      </c>
      <c r="N197" s="9"/>
      <c r="O197" s="7"/>
      <c r="P197" s="9" t="str">
        <f aca="false">IF(N197&lt;&gt;"",(N197-H197)*K197*IF(E197="Buy",1,-1),"")</f>
        <v/>
      </c>
      <c r="Q197" s="10" t="str">
        <f aca="false">IF(AND(P197&lt;&gt;"",H197&lt;&gt;0,K197&lt;&gt;0),P197/(H197*K197),"")</f>
        <v/>
      </c>
      <c r="R197" s="11" t="str">
        <f aca="false">IF(AND(N197&lt;&gt;"",H197&lt;&gt;I197),IF(E197="Buy",(N197-H197)/(H197-I197),(H197-N197)/(I197-H197)),"")</f>
        <v/>
      </c>
      <c r="S197" s="7" t="str">
        <f aca="false">IF(D197="","",IF(N197&lt;&gt;"","Closed","Open"))</f>
        <v/>
      </c>
      <c r="T197" s="7"/>
    </row>
    <row r="198" customFormat="false" ht="15" hidden="false" customHeight="false" outlineLevel="0" collapsed="false">
      <c r="A198" s="7"/>
      <c r="B198" s="7"/>
      <c r="C198" s="7"/>
      <c r="D198" s="7"/>
      <c r="E198" s="7"/>
      <c r="F198" s="7"/>
      <c r="G198" s="8"/>
      <c r="H198" s="9"/>
      <c r="I198" s="9"/>
      <c r="J198" s="9"/>
      <c r="K198" s="7"/>
      <c r="L198" s="7"/>
      <c r="M198" s="9" t="str">
        <f aca="false">IF(AND(H198&lt;&gt;"",I198&lt;&gt;"",K198&lt;&gt;""),ABS(H198-I198)*K198,"")</f>
        <v/>
      </c>
      <c r="N198" s="9"/>
      <c r="O198" s="7"/>
      <c r="P198" s="9" t="str">
        <f aca="false">IF(N198&lt;&gt;"",(N198-H198)*K198*IF(E198="Buy",1,-1),"")</f>
        <v/>
      </c>
      <c r="Q198" s="10" t="str">
        <f aca="false">IF(AND(P198&lt;&gt;"",H198&lt;&gt;0,K198&lt;&gt;0),P198/(H198*K198),"")</f>
        <v/>
      </c>
      <c r="R198" s="11" t="str">
        <f aca="false">IF(AND(N198&lt;&gt;"",H198&lt;&gt;I198),IF(E198="Buy",(N198-H198)/(H198-I198),(H198-N198)/(I198-H198)),"")</f>
        <v/>
      </c>
      <c r="S198" s="7" t="str">
        <f aca="false">IF(D198="","",IF(N198&lt;&gt;"","Closed","Open"))</f>
        <v/>
      </c>
      <c r="T198" s="7"/>
    </row>
    <row r="199" customFormat="false" ht="15" hidden="false" customHeight="false" outlineLevel="0" collapsed="false">
      <c r="A199" s="7"/>
      <c r="B199" s="7"/>
      <c r="C199" s="7"/>
      <c r="D199" s="7"/>
      <c r="E199" s="7"/>
      <c r="F199" s="7"/>
      <c r="G199" s="8"/>
      <c r="H199" s="9"/>
      <c r="I199" s="9"/>
      <c r="J199" s="9"/>
      <c r="K199" s="7"/>
      <c r="L199" s="7"/>
      <c r="M199" s="9" t="str">
        <f aca="false">IF(AND(H199&lt;&gt;"",I199&lt;&gt;"",K199&lt;&gt;""),ABS(H199-I199)*K199,"")</f>
        <v/>
      </c>
      <c r="N199" s="9"/>
      <c r="O199" s="7"/>
      <c r="P199" s="9" t="str">
        <f aca="false">IF(N199&lt;&gt;"",(N199-H199)*K199*IF(E199="Buy",1,-1),"")</f>
        <v/>
      </c>
      <c r="Q199" s="10" t="str">
        <f aca="false">IF(AND(P199&lt;&gt;"",H199&lt;&gt;0,K199&lt;&gt;0),P199/(H199*K199),"")</f>
        <v/>
      </c>
      <c r="R199" s="11" t="str">
        <f aca="false">IF(AND(N199&lt;&gt;"",H199&lt;&gt;I199),IF(E199="Buy",(N199-H199)/(H199-I199),(H199-N199)/(I199-H199)),"")</f>
        <v/>
      </c>
      <c r="S199" s="7" t="str">
        <f aca="false">IF(D199="","",IF(N199&lt;&gt;"","Closed","Open"))</f>
        <v/>
      </c>
      <c r="T199" s="7"/>
    </row>
    <row r="200" customFormat="false" ht="15" hidden="false" customHeight="false" outlineLevel="0" collapsed="false">
      <c r="A200" s="7"/>
      <c r="B200" s="7"/>
      <c r="C200" s="7"/>
      <c r="D200" s="7"/>
      <c r="E200" s="7"/>
      <c r="F200" s="7"/>
      <c r="G200" s="8"/>
      <c r="H200" s="9"/>
      <c r="I200" s="9"/>
      <c r="J200" s="9"/>
      <c r="K200" s="7"/>
      <c r="L200" s="7"/>
      <c r="M200" s="9" t="str">
        <f aca="false">IF(AND(H200&lt;&gt;"",I200&lt;&gt;"",K200&lt;&gt;""),ABS(H200-I200)*K200,"")</f>
        <v/>
      </c>
      <c r="N200" s="9"/>
      <c r="O200" s="7"/>
      <c r="P200" s="9" t="str">
        <f aca="false">IF(N200&lt;&gt;"",(N200-H200)*K200*IF(E200="Buy",1,-1),"")</f>
        <v/>
      </c>
      <c r="Q200" s="10" t="str">
        <f aca="false">IF(AND(P200&lt;&gt;"",H200&lt;&gt;0,K200&lt;&gt;0),P200/(H200*K200),"")</f>
        <v/>
      </c>
      <c r="R200" s="11" t="str">
        <f aca="false">IF(AND(N200&lt;&gt;"",H200&lt;&gt;I200),IF(E200="Buy",(N200-H200)/(H200-I200),(H200-N200)/(I200-H200)),"")</f>
        <v/>
      </c>
      <c r="S200" s="7" t="str">
        <f aca="false">IF(D200="","",IF(N200&lt;&gt;"","Closed","Open"))</f>
        <v/>
      </c>
      <c r="T200" s="7"/>
    </row>
    <row r="201" customFormat="false" ht="15" hidden="false" customHeight="false" outlineLevel="0" collapsed="false">
      <c r="A201" s="7"/>
      <c r="B201" s="7"/>
      <c r="C201" s="7"/>
      <c r="D201" s="7"/>
      <c r="E201" s="7"/>
      <c r="F201" s="7"/>
      <c r="G201" s="8"/>
      <c r="H201" s="9"/>
      <c r="I201" s="9"/>
      <c r="J201" s="9"/>
      <c r="K201" s="7"/>
      <c r="L201" s="7"/>
      <c r="M201" s="9" t="str">
        <f aca="false">IF(AND(H201&lt;&gt;"",I201&lt;&gt;"",K201&lt;&gt;""),ABS(H201-I201)*K201,"")</f>
        <v/>
      </c>
      <c r="N201" s="9"/>
      <c r="O201" s="7"/>
      <c r="P201" s="9" t="str">
        <f aca="false">IF(N201&lt;&gt;"",(N201-H201)*K201*IF(E201="Buy",1,-1),"")</f>
        <v/>
      </c>
      <c r="Q201" s="10" t="str">
        <f aca="false">IF(AND(P201&lt;&gt;"",H201&lt;&gt;0,K201&lt;&gt;0),P201/(H201*K201),"")</f>
        <v/>
      </c>
      <c r="R201" s="11" t="str">
        <f aca="false">IF(AND(N201&lt;&gt;"",H201&lt;&gt;I201),IF(E201="Buy",(N201-H201)/(H201-I201),(H201-N201)/(I201-H201)),"")</f>
        <v/>
      </c>
      <c r="S201" s="7" t="str">
        <f aca="false">IF(D201="","",IF(N201&lt;&gt;"","Closed","Open"))</f>
        <v/>
      </c>
      <c r="T201" s="7"/>
    </row>
    <row r="202" customFormat="false" ht="15" hidden="false" customHeight="false" outlineLevel="0" collapsed="false">
      <c r="A202" s="7"/>
      <c r="B202" s="7"/>
      <c r="C202" s="7"/>
      <c r="D202" s="7"/>
      <c r="E202" s="7"/>
      <c r="F202" s="7"/>
      <c r="G202" s="8"/>
      <c r="H202" s="9"/>
      <c r="I202" s="9"/>
      <c r="J202" s="9"/>
      <c r="K202" s="7"/>
      <c r="L202" s="7"/>
      <c r="M202" s="9" t="str">
        <f aca="false">IF(AND(H202&lt;&gt;"",I202&lt;&gt;"",K202&lt;&gt;""),ABS(H202-I202)*K202,"")</f>
        <v/>
      </c>
      <c r="N202" s="9"/>
      <c r="O202" s="7"/>
      <c r="P202" s="9" t="str">
        <f aca="false">IF(N202&lt;&gt;"",(N202-H202)*K202*IF(E202="Buy",1,-1),"")</f>
        <v/>
      </c>
      <c r="Q202" s="10" t="str">
        <f aca="false">IF(AND(P202&lt;&gt;"",H202&lt;&gt;0,K202&lt;&gt;0),P202/(H202*K202),"")</f>
        <v/>
      </c>
      <c r="R202" s="11" t="str">
        <f aca="false">IF(AND(N202&lt;&gt;"",H202&lt;&gt;I202),IF(E202="Buy",(N202-H202)/(H202-I202),(H202-N202)/(I202-H202)),"")</f>
        <v/>
      </c>
      <c r="S202" s="7" t="str">
        <f aca="false">IF(D202="","",IF(N202&lt;&gt;"","Closed","Open"))</f>
        <v/>
      </c>
      <c r="T202" s="7"/>
    </row>
    <row r="203" customFormat="false" ht="15" hidden="false" customHeight="false" outlineLevel="0" collapsed="false">
      <c r="A203" s="7"/>
      <c r="B203" s="7"/>
      <c r="C203" s="7"/>
      <c r="D203" s="7"/>
      <c r="E203" s="7"/>
      <c r="F203" s="7"/>
      <c r="G203" s="8"/>
      <c r="H203" s="9"/>
      <c r="I203" s="9"/>
      <c r="J203" s="9"/>
      <c r="K203" s="7"/>
      <c r="L203" s="7"/>
      <c r="M203" s="9" t="str">
        <f aca="false">IF(AND(H203&lt;&gt;"",I203&lt;&gt;"",K203&lt;&gt;""),ABS(H203-I203)*K203,"")</f>
        <v/>
      </c>
      <c r="N203" s="9"/>
      <c r="O203" s="7"/>
      <c r="P203" s="9" t="str">
        <f aca="false">IF(N203&lt;&gt;"",(N203-H203)*K203*IF(E203="Buy",1,-1),"")</f>
        <v/>
      </c>
      <c r="Q203" s="10" t="str">
        <f aca="false">IF(AND(P203&lt;&gt;"",H203&lt;&gt;0,K203&lt;&gt;0),P203/(H203*K203),"")</f>
        <v/>
      </c>
      <c r="R203" s="11" t="str">
        <f aca="false">IF(AND(N203&lt;&gt;"",H203&lt;&gt;I203),IF(E203="Buy",(N203-H203)/(H203-I203),(H203-N203)/(I203-H203)),"")</f>
        <v/>
      </c>
      <c r="S203" s="7" t="str">
        <f aca="false">IF(D203="","",IF(N203&lt;&gt;"","Closed","Open"))</f>
        <v/>
      </c>
      <c r="T203" s="7"/>
    </row>
    <row r="204" customFormat="false" ht="15" hidden="false" customHeight="false" outlineLevel="0" collapsed="false">
      <c r="A204" s="7"/>
      <c r="B204" s="7"/>
      <c r="C204" s="7"/>
      <c r="D204" s="7"/>
      <c r="E204" s="7"/>
      <c r="F204" s="7"/>
      <c r="G204" s="8"/>
      <c r="H204" s="9"/>
      <c r="I204" s="9"/>
      <c r="J204" s="9"/>
      <c r="K204" s="7"/>
      <c r="L204" s="7"/>
      <c r="M204" s="9" t="str">
        <f aca="false">IF(AND(H204&lt;&gt;"",I204&lt;&gt;"",K204&lt;&gt;""),ABS(H204-I204)*K204,"")</f>
        <v/>
      </c>
      <c r="N204" s="9"/>
      <c r="O204" s="7"/>
      <c r="P204" s="9" t="str">
        <f aca="false">IF(N204&lt;&gt;"",(N204-H204)*K204*IF(E204="Buy",1,-1),"")</f>
        <v/>
      </c>
      <c r="Q204" s="10" t="str">
        <f aca="false">IF(AND(P204&lt;&gt;"",H204&lt;&gt;0,K204&lt;&gt;0),P204/(H204*K204),"")</f>
        <v/>
      </c>
      <c r="R204" s="11" t="str">
        <f aca="false">IF(AND(N204&lt;&gt;"",H204&lt;&gt;I204),IF(E204="Buy",(N204-H204)/(H204-I204),(H204-N204)/(I204-H204)),"")</f>
        <v/>
      </c>
      <c r="S204" s="7" t="str">
        <f aca="false">IF(D204="","",IF(N204&lt;&gt;"","Closed","Open"))</f>
        <v/>
      </c>
      <c r="T204" s="7"/>
    </row>
    <row r="205" customFormat="false" ht="15" hidden="false" customHeight="false" outlineLevel="0" collapsed="false">
      <c r="A205" s="7"/>
      <c r="B205" s="7"/>
      <c r="C205" s="7"/>
      <c r="D205" s="7"/>
      <c r="E205" s="7"/>
      <c r="F205" s="7"/>
      <c r="G205" s="8"/>
      <c r="H205" s="9"/>
      <c r="I205" s="9"/>
      <c r="J205" s="9"/>
      <c r="K205" s="7"/>
      <c r="L205" s="7"/>
      <c r="M205" s="9" t="str">
        <f aca="false">IF(AND(H205&lt;&gt;"",I205&lt;&gt;"",K205&lt;&gt;""),ABS(H205-I205)*K205,"")</f>
        <v/>
      </c>
      <c r="N205" s="9"/>
      <c r="O205" s="7"/>
      <c r="P205" s="9" t="str">
        <f aca="false">IF(N205&lt;&gt;"",(N205-H205)*K205*IF(E205="Buy",1,-1),"")</f>
        <v/>
      </c>
      <c r="Q205" s="10" t="str">
        <f aca="false">IF(AND(P205&lt;&gt;"",H205&lt;&gt;0,K205&lt;&gt;0),P205/(H205*K205),"")</f>
        <v/>
      </c>
      <c r="R205" s="11" t="str">
        <f aca="false">IF(AND(N205&lt;&gt;"",H205&lt;&gt;I205),IF(E205="Buy",(N205-H205)/(H205-I205),(H205-N205)/(I205-H205)),"")</f>
        <v/>
      </c>
      <c r="S205" s="7" t="str">
        <f aca="false">IF(D205="","",IF(N205&lt;&gt;"","Closed","Open"))</f>
        <v/>
      </c>
      <c r="T205" s="7"/>
    </row>
    <row r="206" customFormat="false" ht="15" hidden="false" customHeight="false" outlineLevel="0" collapsed="false">
      <c r="A206" s="7"/>
      <c r="B206" s="7"/>
      <c r="C206" s="7"/>
      <c r="D206" s="7"/>
      <c r="E206" s="7"/>
      <c r="F206" s="7"/>
      <c r="G206" s="8"/>
      <c r="H206" s="9"/>
      <c r="I206" s="9"/>
      <c r="J206" s="9"/>
      <c r="K206" s="7"/>
      <c r="L206" s="7"/>
      <c r="M206" s="9" t="str">
        <f aca="false">IF(AND(H206&lt;&gt;"",I206&lt;&gt;"",K206&lt;&gt;""),ABS(H206-I206)*K206,"")</f>
        <v/>
      </c>
      <c r="N206" s="9"/>
      <c r="O206" s="7"/>
      <c r="P206" s="9" t="str">
        <f aca="false">IF(N206&lt;&gt;"",(N206-H206)*K206*IF(E206="Buy",1,-1),"")</f>
        <v/>
      </c>
      <c r="Q206" s="10" t="str">
        <f aca="false">IF(AND(P206&lt;&gt;"",H206&lt;&gt;0,K206&lt;&gt;0),P206/(H206*K206),"")</f>
        <v/>
      </c>
      <c r="R206" s="11" t="str">
        <f aca="false">IF(AND(N206&lt;&gt;"",H206&lt;&gt;I206),IF(E206="Buy",(N206-H206)/(H206-I206),(H206-N206)/(I206-H206)),"")</f>
        <v/>
      </c>
      <c r="S206" s="7" t="str">
        <f aca="false">IF(D206="","",IF(N206&lt;&gt;"","Closed","Open"))</f>
        <v/>
      </c>
      <c r="T206" s="7"/>
    </row>
    <row r="207" customFormat="false" ht="15" hidden="false" customHeight="false" outlineLevel="0" collapsed="false">
      <c r="A207" s="7"/>
      <c r="B207" s="7"/>
      <c r="C207" s="7"/>
      <c r="D207" s="7"/>
      <c r="E207" s="7"/>
      <c r="F207" s="7"/>
      <c r="G207" s="8"/>
      <c r="H207" s="9"/>
      <c r="I207" s="9"/>
      <c r="J207" s="9"/>
      <c r="K207" s="7"/>
      <c r="L207" s="7"/>
      <c r="M207" s="9" t="str">
        <f aca="false">IF(AND(H207&lt;&gt;"",I207&lt;&gt;"",K207&lt;&gt;""),ABS(H207-I207)*K207,"")</f>
        <v/>
      </c>
      <c r="N207" s="9"/>
      <c r="O207" s="7"/>
      <c r="P207" s="9" t="str">
        <f aca="false">IF(N207&lt;&gt;"",(N207-H207)*K207*IF(E207="Buy",1,-1),"")</f>
        <v/>
      </c>
      <c r="Q207" s="10" t="str">
        <f aca="false">IF(AND(P207&lt;&gt;"",H207&lt;&gt;0,K207&lt;&gt;0),P207/(H207*K207),"")</f>
        <v/>
      </c>
      <c r="R207" s="11" t="str">
        <f aca="false">IF(AND(N207&lt;&gt;"",H207&lt;&gt;I207),IF(E207="Buy",(N207-H207)/(H207-I207),(H207-N207)/(I207-H207)),"")</f>
        <v/>
      </c>
      <c r="S207" s="7" t="str">
        <f aca="false">IF(D207="","",IF(N207&lt;&gt;"","Closed","Open"))</f>
        <v/>
      </c>
      <c r="T207" s="7"/>
    </row>
    <row r="208" customFormat="false" ht="15" hidden="false" customHeight="false" outlineLevel="0" collapsed="false">
      <c r="A208" s="7"/>
      <c r="B208" s="7"/>
      <c r="C208" s="7"/>
      <c r="D208" s="7"/>
      <c r="E208" s="7"/>
      <c r="F208" s="7"/>
      <c r="G208" s="8"/>
      <c r="H208" s="9"/>
      <c r="I208" s="9"/>
      <c r="J208" s="9"/>
      <c r="K208" s="7"/>
      <c r="L208" s="7"/>
      <c r="M208" s="9" t="str">
        <f aca="false">IF(AND(H208&lt;&gt;"",I208&lt;&gt;"",K208&lt;&gt;""),ABS(H208-I208)*K208,"")</f>
        <v/>
      </c>
      <c r="N208" s="9"/>
      <c r="O208" s="7"/>
      <c r="P208" s="9" t="str">
        <f aca="false">IF(N208&lt;&gt;"",(N208-H208)*K208*IF(E208="Buy",1,-1),"")</f>
        <v/>
      </c>
      <c r="Q208" s="10" t="str">
        <f aca="false">IF(AND(P208&lt;&gt;"",H208&lt;&gt;0,K208&lt;&gt;0),P208/(H208*K208),"")</f>
        <v/>
      </c>
      <c r="R208" s="11" t="str">
        <f aca="false">IF(AND(N208&lt;&gt;"",H208&lt;&gt;I208),IF(E208="Buy",(N208-H208)/(H208-I208),(H208-N208)/(I208-H208)),"")</f>
        <v/>
      </c>
      <c r="S208" s="7" t="str">
        <f aca="false">IF(D208="","",IF(N208&lt;&gt;"","Closed","Open"))</f>
        <v/>
      </c>
      <c r="T208" s="7"/>
    </row>
    <row r="209" customFormat="false" ht="15" hidden="false" customHeight="false" outlineLevel="0" collapsed="false">
      <c r="A209" s="7"/>
      <c r="B209" s="7"/>
      <c r="C209" s="7"/>
      <c r="D209" s="7"/>
      <c r="E209" s="7"/>
      <c r="F209" s="7"/>
      <c r="G209" s="8"/>
      <c r="H209" s="9"/>
      <c r="I209" s="9"/>
      <c r="J209" s="9"/>
      <c r="K209" s="7"/>
      <c r="L209" s="7"/>
      <c r="M209" s="9" t="str">
        <f aca="false">IF(AND(H209&lt;&gt;"",I209&lt;&gt;"",K209&lt;&gt;""),ABS(H209-I209)*K209,"")</f>
        <v/>
      </c>
      <c r="N209" s="9"/>
      <c r="O209" s="7"/>
      <c r="P209" s="9" t="str">
        <f aca="false">IF(N209&lt;&gt;"",(N209-H209)*K209*IF(E209="Buy",1,-1),"")</f>
        <v/>
      </c>
      <c r="Q209" s="10" t="str">
        <f aca="false">IF(AND(P209&lt;&gt;"",H209&lt;&gt;0,K209&lt;&gt;0),P209/(H209*K209),"")</f>
        <v/>
      </c>
      <c r="R209" s="11" t="str">
        <f aca="false">IF(AND(N209&lt;&gt;"",H209&lt;&gt;I209),IF(E209="Buy",(N209-H209)/(H209-I209),(H209-N209)/(I209-H209)),"")</f>
        <v/>
      </c>
      <c r="S209" s="7" t="str">
        <f aca="false">IF(D209="","",IF(N209&lt;&gt;"","Closed","Open"))</f>
        <v/>
      </c>
      <c r="T209" s="7"/>
    </row>
    <row r="210" customFormat="false" ht="15" hidden="false" customHeight="false" outlineLevel="0" collapsed="false">
      <c r="A210" s="7"/>
      <c r="B210" s="7"/>
      <c r="C210" s="7"/>
      <c r="D210" s="7"/>
      <c r="E210" s="7"/>
      <c r="F210" s="7"/>
      <c r="G210" s="8"/>
      <c r="H210" s="9"/>
      <c r="I210" s="9"/>
      <c r="J210" s="9"/>
      <c r="K210" s="7"/>
      <c r="L210" s="7"/>
      <c r="M210" s="9" t="str">
        <f aca="false">IF(AND(H210&lt;&gt;"",I210&lt;&gt;"",K210&lt;&gt;""),ABS(H210-I210)*K210,"")</f>
        <v/>
      </c>
      <c r="N210" s="9"/>
      <c r="O210" s="7"/>
      <c r="P210" s="9" t="str">
        <f aca="false">IF(N210&lt;&gt;"",(N210-H210)*K210*IF(E210="Buy",1,-1),"")</f>
        <v/>
      </c>
      <c r="Q210" s="10" t="str">
        <f aca="false">IF(AND(P210&lt;&gt;"",H210&lt;&gt;0,K210&lt;&gt;0),P210/(H210*K210),"")</f>
        <v/>
      </c>
      <c r="R210" s="11" t="str">
        <f aca="false">IF(AND(N210&lt;&gt;"",H210&lt;&gt;I210),IF(E210="Buy",(N210-H210)/(H210-I210),(H210-N210)/(I210-H210)),"")</f>
        <v/>
      </c>
      <c r="S210" s="7" t="str">
        <f aca="false">IF(D210="","",IF(N210&lt;&gt;"","Closed","Open"))</f>
        <v/>
      </c>
      <c r="T210" s="7"/>
    </row>
    <row r="211" customFormat="false" ht="15" hidden="false" customHeight="false" outlineLevel="0" collapsed="false">
      <c r="A211" s="7"/>
      <c r="B211" s="7"/>
      <c r="C211" s="7"/>
      <c r="D211" s="7"/>
      <c r="E211" s="7"/>
      <c r="F211" s="7"/>
      <c r="G211" s="8"/>
      <c r="H211" s="9"/>
      <c r="I211" s="9"/>
      <c r="J211" s="9"/>
      <c r="K211" s="7"/>
      <c r="L211" s="7"/>
      <c r="M211" s="9" t="str">
        <f aca="false">IF(AND(H211&lt;&gt;"",I211&lt;&gt;"",K211&lt;&gt;""),ABS(H211-I211)*K211,"")</f>
        <v/>
      </c>
      <c r="N211" s="9"/>
      <c r="O211" s="7"/>
      <c r="P211" s="9" t="str">
        <f aca="false">IF(N211&lt;&gt;"",(N211-H211)*K211*IF(E211="Buy",1,-1),"")</f>
        <v/>
      </c>
      <c r="Q211" s="10" t="str">
        <f aca="false">IF(AND(P211&lt;&gt;"",H211&lt;&gt;0,K211&lt;&gt;0),P211/(H211*K211),"")</f>
        <v/>
      </c>
      <c r="R211" s="11" t="str">
        <f aca="false">IF(AND(N211&lt;&gt;"",H211&lt;&gt;I211),IF(E211="Buy",(N211-H211)/(H211-I211),(H211-N211)/(I211-H211)),"")</f>
        <v/>
      </c>
      <c r="S211" s="7" t="str">
        <f aca="false">IF(D211="","",IF(N211&lt;&gt;"","Closed","Open"))</f>
        <v/>
      </c>
      <c r="T211" s="7"/>
    </row>
    <row r="212" customFormat="false" ht="15" hidden="false" customHeight="false" outlineLevel="0" collapsed="false">
      <c r="A212" s="7"/>
      <c r="B212" s="7"/>
      <c r="C212" s="7"/>
      <c r="D212" s="7"/>
      <c r="E212" s="7"/>
      <c r="F212" s="7"/>
      <c r="G212" s="8"/>
      <c r="H212" s="9"/>
      <c r="I212" s="9"/>
      <c r="J212" s="9"/>
      <c r="K212" s="7"/>
      <c r="L212" s="7"/>
      <c r="M212" s="9" t="str">
        <f aca="false">IF(AND(H212&lt;&gt;"",I212&lt;&gt;"",K212&lt;&gt;""),ABS(H212-I212)*K212,"")</f>
        <v/>
      </c>
      <c r="N212" s="9"/>
      <c r="O212" s="7"/>
      <c r="P212" s="9" t="str">
        <f aca="false">IF(N212&lt;&gt;"",(N212-H212)*K212*IF(E212="Buy",1,-1),"")</f>
        <v/>
      </c>
      <c r="Q212" s="10" t="str">
        <f aca="false">IF(AND(P212&lt;&gt;"",H212&lt;&gt;0,K212&lt;&gt;0),P212/(H212*K212),"")</f>
        <v/>
      </c>
      <c r="R212" s="11" t="str">
        <f aca="false">IF(AND(N212&lt;&gt;"",H212&lt;&gt;I212),IF(E212="Buy",(N212-H212)/(H212-I212),(H212-N212)/(I212-H212)),"")</f>
        <v/>
      </c>
      <c r="S212" s="7" t="str">
        <f aca="false">IF(D212="","",IF(N212&lt;&gt;"","Closed","Open"))</f>
        <v/>
      </c>
      <c r="T212" s="7"/>
    </row>
    <row r="213" customFormat="false" ht="15" hidden="false" customHeight="false" outlineLevel="0" collapsed="false">
      <c r="A213" s="7"/>
      <c r="B213" s="7"/>
      <c r="C213" s="7"/>
      <c r="D213" s="7"/>
      <c r="E213" s="7"/>
      <c r="F213" s="7"/>
      <c r="G213" s="8"/>
      <c r="H213" s="9"/>
      <c r="I213" s="9"/>
      <c r="J213" s="9"/>
      <c r="K213" s="7"/>
      <c r="L213" s="7"/>
      <c r="M213" s="9" t="str">
        <f aca="false">IF(AND(H213&lt;&gt;"",I213&lt;&gt;"",K213&lt;&gt;""),ABS(H213-I213)*K213,"")</f>
        <v/>
      </c>
      <c r="N213" s="9"/>
      <c r="O213" s="7"/>
      <c r="P213" s="9" t="str">
        <f aca="false">IF(N213&lt;&gt;"",(N213-H213)*K213*IF(E213="Buy",1,-1),"")</f>
        <v/>
      </c>
      <c r="Q213" s="10" t="str">
        <f aca="false">IF(AND(P213&lt;&gt;"",H213&lt;&gt;0,K213&lt;&gt;0),P213/(H213*K213),"")</f>
        <v/>
      </c>
      <c r="R213" s="11" t="str">
        <f aca="false">IF(AND(N213&lt;&gt;"",H213&lt;&gt;I213),IF(E213="Buy",(N213-H213)/(H213-I213),(H213-N213)/(I213-H213)),"")</f>
        <v/>
      </c>
      <c r="S213" s="7" t="str">
        <f aca="false">IF(D213="","",IF(N213&lt;&gt;"","Closed","Open"))</f>
        <v/>
      </c>
      <c r="T213" s="7"/>
    </row>
    <row r="214" customFormat="false" ht="15" hidden="false" customHeight="false" outlineLevel="0" collapsed="false">
      <c r="A214" s="7"/>
      <c r="B214" s="7"/>
      <c r="C214" s="7"/>
      <c r="D214" s="7"/>
      <c r="E214" s="7"/>
      <c r="F214" s="7"/>
      <c r="G214" s="8"/>
      <c r="H214" s="9"/>
      <c r="I214" s="9"/>
      <c r="J214" s="9"/>
      <c r="K214" s="7"/>
      <c r="L214" s="7"/>
      <c r="M214" s="9" t="str">
        <f aca="false">IF(AND(H214&lt;&gt;"",I214&lt;&gt;"",K214&lt;&gt;""),ABS(H214-I214)*K214,"")</f>
        <v/>
      </c>
      <c r="N214" s="9"/>
      <c r="O214" s="7"/>
      <c r="P214" s="9" t="str">
        <f aca="false">IF(N214&lt;&gt;"",(N214-H214)*K214*IF(E214="Buy",1,-1),"")</f>
        <v/>
      </c>
      <c r="Q214" s="10" t="str">
        <f aca="false">IF(AND(P214&lt;&gt;"",H214&lt;&gt;0,K214&lt;&gt;0),P214/(H214*K214),"")</f>
        <v/>
      </c>
      <c r="R214" s="11" t="str">
        <f aca="false">IF(AND(N214&lt;&gt;"",H214&lt;&gt;I214),IF(E214="Buy",(N214-H214)/(H214-I214),(H214-N214)/(I214-H214)),"")</f>
        <v/>
      </c>
      <c r="S214" s="7" t="str">
        <f aca="false">IF(D214="","",IF(N214&lt;&gt;"","Closed","Open"))</f>
        <v/>
      </c>
      <c r="T214" s="7"/>
    </row>
    <row r="215" customFormat="false" ht="15" hidden="false" customHeight="false" outlineLevel="0" collapsed="false">
      <c r="A215" s="7"/>
      <c r="B215" s="7"/>
      <c r="C215" s="7"/>
      <c r="D215" s="7"/>
      <c r="E215" s="7"/>
      <c r="F215" s="7"/>
      <c r="G215" s="8"/>
      <c r="H215" s="9"/>
      <c r="I215" s="9"/>
      <c r="J215" s="9"/>
      <c r="K215" s="7"/>
      <c r="L215" s="7"/>
      <c r="M215" s="9" t="str">
        <f aca="false">IF(AND(H215&lt;&gt;"",I215&lt;&gt;"",K215&lt;&gt;""),ABS(H215-I215)*K215,"")</f>
        <v/>
      </c>
      <c r="N215" s="9"/>
      <c r="O215" s="7"/>
      <c r="P215" s="9" t="str">
        <f aca="false">IF(N215&lt;&gt;"",(N215-H215)*K215*IF(E215="Buy",1,-1),"")</f>
        <v/>
      </c>
      <c r="Q215" s="10" t="str">
        <f aca="false">IF(AND(P215&lt;&gt;"",H215&lt;&gt;0,K215&lt;&gt;0),P215/(H215*K215),"")</f>
        <v/>
      </c>
      <c r="R215" s="11" t="str">
        <f aca="false">IF(AND(N215&lt;&gt;"",H215&lt;&gt;I215),IF(E215="Buy",(N215-H215)/(H215-I215),(H215-N215)/(I215-H215)),"")</f>
        <v/>
      </c>
      <c r="S215" s="7" t="str">
        <f aca="false">IF(D215="","",IF(N215&lt;&gt;"","Closed","Open"))</f>
        <v/>
      </c>
      <c r="T215" s="7"/>
    </row>
    <row r="216" customFormat="false" ht="15" hidden="false" customHeight="false" outlineLevel="0" collapsed="false">
      <c r="A216" s="7"/>
      <c r="B216" s="7"/>
      <c r="C216" s="7"/>
      <c r="D216" s="7"/>
      <c r="E216" s="7"/>
      <c r="F216" s="7"/>
      <c r="G216" s="8"/>
      <c r="H216" s="9"/>
      <c r="I216" s="9"/>
      <c r="J216" s="9"/>
      <c r="K216" s="7"/>
      <c r="L216" s="7"/>
      <c r="M216" s="9" t="str">
        <f aca="false">IF(AND(H216&lt;&gt;"",I216&lt;&gt;"",K216&lt;&gt;""),ABS(H216-I216)*K216,"")</f>
        <v/>
      </c>
      <c r="N216" s="9"/>
      <c r="O216" s="7"/>
      <c r="P216" s="9" t="str">
        <f aca="false">IF(N216&lt;&gt;"",(N216-H216)*K216*IF(E216="Buy",1,-1),"")</f>
        <v/>
      </c>
      <c r="Q216" s="10" t="str">
        <f aca="false">IF(AND(P216&lt;&gt;"",H216&lt;&gt;0,K216&lt;&gt;0),P216/(H216*K216),"")</f>
        <v/>
      </c>
      <c r="R216" s="11" t="str">
        <f aca="false">IF(AND(N216&lt;&gt;"",H216&lt;&gt;I216),IF(E216="Buy",(N216-H216)/(H216-I216),(H216-N216)/(I216-H216)),"")</f>
        <v/>
      </c>
      <c r="S216" s="7" t="str">
        <f aca="false">IF(D216="","",IF(N216&lt;&gt;"","Closed","Open"))</f>
        <v/>
      </c>
      <c r="T216" s="7"/>
    </row>
    <row r="217" customFormat="false" ht="15" hidden="false" customHeight="false" outlineLevel="0" collapsed="false">
      <c r="A217" s="7"/>
      <c r="B217" s="7"/>
      <c r="C217" s="7"/>
      <c r="D217" s="7"/>
      <c r="E217" s="7"/>
      <c r="F217" s="7"/>
      <c r="G217" s="8"/>
      <c r="H217" s="9"/>
      <c r="I217" s="9"/>
      <c r="J217" s="9"/>
      <c r="K217" s="7"/>
      <c r="L217" s="7"/>
      <c r="M217" s="9" t="str">
        <f aca="false">IF(AND(H217&lt;&gt;"",I217&lt;&gt;"",K217&lt;&gt;""),ABS(H217-I217)*K217,"")</f>
        <v/>
      </c>
      <c r="N217" s="9"/>
      <c r="O217" s="7"/>
      <c r="P217" s="9" t="str">
        <f aca="false">IF(N217&lt;&gt;"",(N217-H217)*K217*IF(E217="Buy",1,-1),"")</f>
        <v/>
      </c>
      <c r="Q217" s="10" t="str">
        <f aca="false">IF(AND(P217&lt;&gt;"",H217&lt;&gt;0,K217&lt;&gt;0),P217/(H217*K217),"")</f>
        <v/>
      </c>
      <c r="R217" s="11" t="str">
        <f aca="false">IF(AND(N217&lt;&gt;"",H217&lt;&gt;I217),IF(E217="Buy",(N217-H217)/(H217-I217),(H217-N217)/(I217-H217)),"")</f>
        <v/>
      </c>
      <c r="S217" s="7" t="str">
        <f aca="false">IF(D217="","",IF(N217&lt;&gt;"","Closed","Open"))</f>
        <v/>
      </c>
      <c r="T217" s="7"/>
    </row>
    <row r="218" customFormat="false" ht="15" hidden="false" customHeight="false" outlineLevel="0" collapsed="false">
      <c r="A218" s="7"/>
      <c r="B218" s="7"/>
      <c r="C218" s="7"/>
      <c r="D218" s="7"/>
      <c r="E218" s="7"/>
      <c r="F218" s="7"/>
      <c r="G218" s="8"/>
      <c r="H218" s="9"/>
      <c r="I218" s="9"/>
      <c r="J218" s="9"/>
      <c r="K218" s="7"/>
      <c r="L218" s="7"/>
      <c r="M218" s="9" t="str">
        <f aca="false">IF(AND(H218&lt;&gt;"",I218&lt;&gt;"",K218&lt;&gt;""),ABS(H218-I218)*K218,"")</f>
        <v/>
      </c>
      <c r="N218" s="9"/>
      <c r="O218" s="7"/>
      <c r="P218" s="9" t="str">
        <f aca="false">IF(N218&lt;&gt;"",(N218-H218)*K218*IF(E218="Buy",1,-1),"")</f>
        <v/>
      </c>
      <c r="Q218" s="10" t="str">
        <f aca="false">IF(AND(P218&lt;&gt;"",H218&lt;&gt;0,K218&lt;&gt;0),P218/(H218*K218),"")</f>
        <v/>
      </c>
      <c r="R218" s="11" t="str">
        <f aca="false">IF(AND(N218&lt;&gt;"",H218&lt;&gt;I218),IF(E218="Buy",(N218-H218)/(H218-I218),(H218-N218)/(I218-H218)),"")</f>
        <v/>
      </c>
      <c r="S218" s="7" t="str">
        <f aca="false">IF(D218="","",IF(N218&lt;&gt;"","Closed","Open"))</f>
        <v/>
      </c>
      <c r="T218" s="7"/>
    </row>
    <row r="219" customFormat="false" ht="15" hidden="false" customHeight="false" outlineLevel="0" collapsed="false">
      <c r="A219" s="7"/>
      <c r="B219" s="7"/>
      <c r="C219" s="7"/>
      <c r="D219" s="7"/>
      <c r="E219" s="7"/>
      <c r="F219" s="7"/>
      <c r="G219" s="8"/>
      <c r="H219" s="9"/>
      <c r="I219" s="9"/>
      <c r="J219" s="9"/>
      <c r="K219" s="7"/>
      <c r="L219" s="7"/>
      <c r="M219" s="9" t="str">
        <f aca="false">IF(AND(H219&lt;&gt;"",I219&lt;&gt;"",K219&lt;&gt;""),ABS(H219-I219)*K219,"")</f>
        <v/>
      </c>
      <c r="N219" s="9"/>
      <c r="O219" s="7"/>
      <c r="P219" s="9" t="str">
        <f aca="false">IF(N219&lt;&gt;"",(N219-H219)*K219*IF(E219="Buy",1,-1),"")</f>
        <v/>
      </c>
      <c r="Q219" s="10" t="str">
        <f aca="false">IF(AND(P219&lt;&gt;"",H219&lt;&gt;0,K219&lt;&gt;0),P219/(H219*K219),"")</f>
        <v/>
      </c>
      <c r="R219" s="11" t="str">
        <f aca="false">IF(AND(N219&lt;&gt;"",H219&lt;&gt;I219),IF(E219="Buy",(N219-H219)/(H219-I219),(H219-N219)/(I219-H219)),"")</f>
        <v/>
      </c>
      <c r="S219" s="7" t="str">
        <f aca="false">IF(D219="","",IF(N219&lt;&gt;"","Closed","Open"))</f>
        <v/>
      </c>
      <c r="T219" s="7"/>
    </row>
    <row r="220" customFormat="false" ht="15" hidden="false" customHeight="false" outlineLevel="0" collapsed="false">
      <c r="A220" s="7"/>
      <c r="B220" s="7"/>
      <c r="C220" s="7"/>
      <c r="D220" s="7"/>
      <c r="E220" s="7"/>
      <c r="F220" s="7"/>
      <c r="G220" s="8"/>
      <c r="H220" s="9"/>
      <c r="I220" s="9"/>
      <c r="J220" s="9"/>
      <c r="K220" s="7"/>
      <c r="L220" s="7"/>
      <c r="M220" s="9" t="str">
        <f aca="false">IF(AND(H220&lt;&gt;"",I220&lt;&gt;"",K220&lt;&gt;""),ABS(H220-I220)*K220,"")</f>
        <v/>
      </c>
      <c r="N220" s="9"/>
      <c r="O220" s="7"/>
      <c r="P220" s="9" t="str">
        <f aca="false">IF(N220&lt;&gt;"",(N220-H220)*K220*IF(E220="Buy",1,-1),"")</f>
        <v/>
      </c>
      <c r="Q220" s="10" t="str">
        <f aca="false">IF(AND(P220&lt;&gt;"",H220&lt;&gt;0,K220&lt;&gt;0),P220/(H220*K220),"")</f>
        <v/>
      </c>
      <c r="R220" s="11" t="str">
        <f aca="false">IF(AND(N220&lt;&gt;"",H220&lt;&gt;I220),IF(E220="Buy",(N220-H220)/(H220-I220),(H220-N220)/(I220-H220)),"")</f>
        <v/>
      </c>
      <c r="S220" s="7" t="str">
        <f aca="false">IF(D220="","",IF(N220&lt;&gt;"","Closed","Open"))</f>
        <v/>
      </c>
      <c r="T220" s="7"/>
    </row>
    <row r="221" customFormat="false" ht="15" hidden="false" customHeight="false" outlineLevel="0" collapsed="false">
      <c r="A221" s="7"/>
      <c r="B221" s="7"/>
      <c r="C221" s="7"/>
      <c r="D221" s="7"/>
      <c r="E221" s="7"/>
      <c r="F221" s="7"/>
      <c r="G221" s="8"/>
      <c r="H221" s="9"/>
      <c r="I221" s="9"/>
      <c r="J221" s="9"/>
      <c r="K221" s="7"/>
      <c r="L221" s="7"/>
      <c r="M221" s="9" t="str">
        <f aca="false">IF(AND(H221&lt;&gt;"",I221&lt;&gt;"",K221&lt;&gt;""),ABS(H221-I221)*K221,"")</f>
        <v/>
      </c>
      <c r="N221" s="9"/>
      <c r="O221" s="7"/>
      <c r="P221" s="9" t="str">
        <f aca="false">IF(N221&lt;&gt;"",(N221-H221)*K221*IF(E221="Buy",1,-1),"")</f>
        <v/>
      </c>
      <c r="Q221" s="10" t="str">
        <f aca="false">IF(AND(P221&lt;&gt;"",H221&lt;&gt;0,K221&lt;&gt;0),P221/(H221*K221),"")</f>
        <v/>
      </c>
      <c r="R221" s="11" t="str">
        <f aca="false">IF(AND(N221&lt;&gt;"",H221&lt;&gt;I221),IF(E221="Buy",(N221-H221)/(H221-I221),(H221-N221)/(I221-H221)),"")</f>
        <v/>
      </c>
      <c r="S221" s="7" t="str">
        <f aca="false">IF(D221="","",IF(N221&lt;&gt;"","Closed","Open"))</f>
        <v/>
      </c>
      <c r="T221" s="7"/>
    </row>
    <row r="222" customFormat="false" ht="15" hidden="false" customHeight="false" outlineLevel="0" collapsed="false">
      <c r="A222" s="7"/>
      <c r="B222" s="7"/>
      <c r="C222" s="7"/>
      <c r="D222" s="7"/>
      <c r="E222" s="7"/>
      <c r="F222" s="7"/>
      <c r="G222" s="8"/>
      <c r="H222" s="9"/>
      <c r="I222" s="9"/>
      <c r="J222" s="9"/>
      <c r="K222" s="7"/>
      <c r="L222" s="7"/>
      <c r="M222" s="9" t="str">
        <f aca="false">IF(AND(H222&lt;&gt;"",I222&lt;&gt;"",K222&lt;&gt;""),ABS(H222-I222)*K222,"")</f>
        <v/>
      </c>
      <c r="N222" s="9"/>
      <c r="O222" s="7"/>
      <c r="P222" s="9" t="str">
        <f aca="false">IF(N222&lt;&gt;"",(N222-H222)*K222*IF(E222="Buy",1,-1),"")</f>
        <v/>
      </c>
      <c r="Q222" s="10" t="str">
        <f aca="false">IF(AND(P222&lt;&gt;"",H222&lt;&gt;0,K222&lt;&gt;0),P222/(H222*K222),"")</f>
        <v/>
      </c>
      <c r="R222" s="11" t="str">
        <f aca="false">IF(AND(N222&lt;&gt;"",H222&lt;&gt;I222),IF(E222="Buy",(N222-H222)/(H222-I222),(H222-N222)/(I222-H222)),"")</f>
        <v/>
      </c>
      <c r="S222" s="7" t="str">
        <f aca="false">IF(D222="","",IF(N222&lt;&gt;"","Closed","Open"))</f>
        <v/>
      </c>
      <c r="T222" s="7"/>
    </row>
    <row r="223" customFormat="false" ht="15" hidden="false" customHeight="false" outlineLevel="0" collapsed="false">
      <c r="A223" s="7"/>
      <c r="B223" s="7"/>
      <c r="C223" s="7"/>
      <c r="D223" s="7"/>
      <c r="E223" s="7"/>
      <c r="F223" s="7"/>
      <c r="G223" s="8"/>
      <c r="H223" s="9"/>
      <c r="I223" s="9"/>
      <c r="J223" s="9"/>
      <c r="K223" s="7"/>
      <c r="L223" s="7"/>
      <c r="M223" s="9" t="str">
        <f aca="false">IF(AND(H223&lt;&gt;"",I223&lt;&gt;"",K223&lt;&gt;""),ABS(H223-I223)*K223,"")</f>
        <v/>
      </c>
      <c r="N223" s="9"/>
      <c r="O223" s="7"/>
      <c r="P223" s="9" t="str">
        <f aca="false">IF(N223&lt;&gt;"",(N223-H223)*K223*IF(E223="Buy",1,-1),"")</f>
        <v/>
      </c>
      <c r="Q223" s="10" t="str">
        <f aca="false">IF(AND(P223&lt;&gt;"",H223&lt;&gt;0,K223&lt;&gt;0),P223/(H223*K223),"")</f>
        <v/>
      </c>
      <c r="R223" s="11" t="str">
        <f aca="false">IF(AND(N223&lt;&gt;"",H223&lt;&gt;I223),IF(E223="Buy",(N223-H223)/(H223-I223),(H223-N223)/(I223-H223)),"")</f>
        <v/>
      </c>
      <c r="S223" s="7" t="str">
        <f aca="false">IF(D223="","",IF(N223&lt;&gt;"","Closed","Open"))</f>
        <v/>
      </c>
      <c r="T223" s="7"/>
    </row>
    <row r="224" customFormat="false" ht="15" hidden="false" customHeight="false" outlineLevel="0" collapsed="false">
      <c r="A224" s="7"/>
      <c r="B224" s="7"/>
      <c r="C224" s="7"/>
      <c r="D224" s="7"/>
      <c r="E224" s="7"/>
      <c r="F224" s="7"/>
      <c r="G224" s="8"/>
      <c r="H224" s="9"/>
      <c r="I224" s="9"/>
      <c r="J224" s="9"/>
      <c r="K224" s="7"/>
      <c r="L224" s="7"/>
      <c r="M224" s="9" t="str">
        <f aca="false">IF(AND(H224&lt;&gt;"",I224&lt;&gt;"",K224&lt;&gt;""),ABS(H224-I224)*K224,"")</f>
        <v/>
      </c>
      <c r="N224" s="9"/>
      <c r="O224" s="7"/>
      <c r="P224" s="9" t="str">
        <f aca="false">IF(N224&lt;&gt;"",(N224-H224)*K224*IF(E224="Buy",1,-1),"")</f>
        <v/>
      </c>
      <c r="Q224" s="10" t="str">
        <f aca="false">IF(AND(P224&lt;&gt;"",H224&lt;&gt;0,K224&lt;&gt;0),P224/(H224*K224),"")</f>
        <v/>
      </c>
      <c r="R224" s="11" t="str">
        <f aca="false">IF(AND(N224&lt;&gt;"",H224&lt;&gt;I224),IF(E224="Buy",(N224-H224)/(H224-I224),(H224-N224)/(I224-H224)),"")</f>
        <v/>
      </c>
      <c r="S224" s="7" t="str">
        <f aca="false">IF(D224="","",IF(N224&lt;&gt;"","Closed","Open"))</f>
        <v/>
      </c>
      <c r="T224" s="7"/>
    </row>
    <row r="225" customFormat="false" ht="15" hidden="false" customHeight="false" outlineLevel="0" collapsed="false">
      <c r="A225" s="7"/>
      <c r="B225" s="7"/>
      <c r="C225" s="7"/>
      <c r="D225" s="7"/>
      <c r="E225" s="7"/>
      <c r="F225" s="7"/>
      <c r="G225" s="8"/>
      <c r="H225" s="9"/>
      <c r="I225" s="9"/>
      <c r="J225" s="9"/>
      <c r="K225" s="7"/>
      <c r="L225" s="7"/>
      <c r="M225" s="9" t="str">
        <f aca="false">IF(AND(H225&lt;&gt;"",I225&lt;&gt;"",K225&lt;&gt;""),ABS(H225-I225)*K225,"")</f>
        <v/>
      </c>
      <c r="N225" s="9"/>
      <c r="O225" s="7"/>
      <c r="P225" s="9" t="str">
        <f aca="false">IF(N225&lt;&gt;"",(N225-H225)*K225*IF(E225="Buy",1,-1),"")</f>
        <v/>
      </c>
      <c r="Q225" s="10" t="str">
        <f aca="false">IF(AND(P225&lt;&gt;"",H225&lt;&gt;0,K225&lt;&gt;0),P225/(H225*K225),"")</f>
        <v/>
      </c>
      <c r="R225" s="11" t="str">
        <f aca="false">IF(AND(N225&lt;&gt;"",H225&lt;&gt;I225),IF(E225="Buy",(N225-H225)/(H225-I225),(H225-N225)/(I225-H225)),"")</f>
        <v/>
      </c>
      <c r="S225" s="7" t="str">
        <f aca="false">IF(D225="","",IF(N225&lt;&gt;"","Closed","Open"))</f>
        <v/>
      </c>
      <c r="T225" s="7"/>
    </row>
    <row r="226" customFormat="false" ht="15" hidden="false" customHeight="false" outlineLevel="0" collapsed="false">
      <c r="A226" s="7"/>
      <c r="B226" s="7"/>
      <c r="C226" s="7"/>
      <c r="D226" s="7"/>
      <c r="E226" s="7"/>
      <c r="F226" s="7"/>
      <c r="G226" s="8"/>
      <c r="H226" s="9"/>
      <c r="I226" s="9"/>
      <c r="J226" s="9"/>
      <c r="K226" s="7"/>
      <c r="L226" s="7"/>
      <c r="M226" s="9" t="str">
        <f aca="false">IF(AND(H226&lt;&gt;"",I226&lt;&gt;"",K226&lt;&gt;""),ABS(H226-I226)*K226,"")</f>
        <v/>
      </c>
      <c r="N226" s="9"/>
      <c r="O226" s="7"/>
      <c r="P226" s="9" t="str">
        <f aca="false">IF(N226&lt;&gt;"",(N226-H226)*K226*IF(E226="Buy",1,-1),"")</f>
        <v/>
      </c>
      <c r="Q226" s="10" t="str">
        <f aca="false">IF(AND(P226&lt;&gt;"",H226&lt;&gt;0,K226&lt;&gt;0),P226/(H226*K226),"")</f>
        <v/>
      </c>
      <c r="R226" s="11" t="str">
        <f aca="false">IF(AND(N226&lt;&gt;"",H226&lt;&gt;I226),IF(E226="Buy",(N226-H226)/(H226-I226),(H226-N226)/(I226-H226)),"")</f>
        <v/>
      </c>
      <c r="S226" s="7" t="str">
        <f aca="false">IF(D226="","",IF(N226&lt;&gt;"","Closed","Open"))</f>
        <v/>
      </c>
      <c r="T226" s="7"/>
    </row>
    <row r="227" customFormat="false" ht="15" hidden="false" customHeight="false" outlineLevel="0" collapsed="false">
      <c r="A227" s="7"/>
      <c r="B227" s="7"/>
      <c r="C227" s="7"/>
      <c r="D227" s="7"/>
      <c r="E227" s="7"/>
      <c r="F227" s="7"/>
      <c r="G227" s="8"/>
      <c r="H227" s="9"/>
      <c r="I227" s="9"/>
      <c r="J227" s="9"/>
      <c r="K227" s="7"/>
      <c r="L227" s="7"/>
      <c r="M227" s="9" t="str">
        <f aca="false">IF(AND(H227&lt;&gt;"",I227&lt;&gt;"",K227&lt;&gt;""),ABS(H227-I227)*K227,"")</f>
        <v/>
      </c>
      <c r="N227" s="9"/>
      <c r="O227" s="7"/>
      <c r="P227" s="9" t="str">
        <f aca="false">IF(N227&lt;&gt;"",(N227-H227)*K227*IF(E227="Buy",1,-1),"")</f>
        <v/>
      </c>
      <c r="Q227" s="10" t="str">
        <f aca="false">IF(AND(P227&lt;&gt;"",H227&lt;&gt;0,K227&lt;&gt;0),P227/(H227*K227),"")</f>
        <v/>
      </c>
      <c r="R227" s="11" t="str">
        <f aca="false">IF(AND(N227&lt;&gt;"",H227&lt;&gt;I227),IF(E227="Buy",(N227-H227)/(H227-I227),(H227-N227)/(I227-H227)),"")</f>
        <v/>
      </c>
      <c r="S227" s="7" t="str">
        <f aca="false">IF(D227="","",IF(N227&lt;&gt;"","Closed","Open"))</f>
        <v/>
      </c>
      <c r="T227" s="7"/>
    </row>
    <row r="228" customFormat="false" ht="15" hidden="false" customHeight="false" outlineLevel="0" collapsed="false">
      <c r="A228" s="7"/>
      <c r="B228" s="7"/>
      <c r="C228" s="7"/>
      <c r="D228" s="7"/>
      <c r="E228" s="7"/>
      <c r="F228" s="7"/>
      <c r="G228" s="8"/>
      <c r="H228" s="9"/>
      <c r="I228" s="9"/>
      <c r="J228" s="9"/>
      <c r="K228" s="7"/>
      <c r="L228" s="7"/>
      <c r="M228" s="9" t="str">
        <f aca="false">IF(AND(H228&lt;&gt;"",I228&lt;&gt;"",K228&lt;&gt;""),ABS(H228-I228)*K228,"")</f>
        <v/>
      </c>
      <c r="N228" s="9"/>
      <c r="O228" s="7"/>
      <c r="P228" s="9" t="str">
        <f aca="false">IF(N228&lt;&gt;"",(N228-H228)*K228*IF(E228="Buy",1,-1),"")</f>
        <v/>
      </c>
      <c r="Q228" s="10" t="str">
        <f aca="false">IF(AND(P228&lt;&gt;"",H228&lt;&gt;0,K228&lt;&gt;0),P228/(H228*K228),"")</f>
        <v/>
      </c>
      <c r="R228" s="11" t="str">
        <f aca="false">IF(AND(N228&lt;&gt;"",H228&lt;&gt;I228),IF(E228="Buy",(N228-H228)/(H228-I228),(H228-N228)/(I228-H228)),"")</f>
        <v/>
      </c>
      <c r="S228" s="7" t="str">
        <f aca="false">IF(D228="","",IF(N228&lt;&gt;"","Closed","Open"))</f>
        <v/>
      </c>
      <c r="T228" s="7"/>
    </row>
    <row r="229" customFormat="false" ht="15" hidden="false" customHeight="false" outlineLevel="0" collapsed="false">
      <c r="A229" s="7"/>
      <c r="B229" s="7"/>
      <c r="C229" s="7"/>
      <c r="D229" s="7"/>
      <c r="E229" s="7"/>
      <c r="F229" s="7"/>
      <c r="G229" s="8"/>
      <c r="H229" s="9"/>
      <c r="I229" s="9"/>
      <c r="J229" s="9"/>
      <c r="K229" s="7"/>
      <c r="L229" s="7"/>
      <c r="M229" s="9" t="str">
        <f aca="false">IF(AND(H229&lt;&gt;"",I229&lt;&gt;"",K229&lt;&gt;""),ABS(H229-I229)*K229,"")</f>
        <v/>
      </c>
      <c r="N229" s="9"/>
      <c r="O229" s="7"/>
      <c r="P229" s="9" t="str">
        <f aca="false">IF(N229&lt;&gt;"",(N229-H229)*K229*IF(E229="Buy",1,-1),"")</f>
        <v/>
      </c>
      <c r="Q229" s="10" t="str">
        <f aca="false">IF(AND(P229&lt;&gt;"",H229&lt;&gt;0,K229&lt;&gt;0),P229/(H229*K229),"")</f>
        <v/>
      </c>
      <c r="R229" s="11" t="str">
        <f aca="false">IF(AND(N229&lt;&gt;"",H229&lt;&gt;I229),IF(E229="Buy",(N229-H229)/(H229-I229),(H229-N229)/(I229-H229)),"")</f>
        <v/>
      </c>
      <c r="S229" s="7" t="str">
        <f aca="false">IF(D229="","",IF(N229&lt;&gt;"","Closed","Open"))</f>
        <v/>
      </c>
      <c r="T229" s="7"/>
    </row>
    <row r="230" customFormat="false" ht="15" hidden="false" customHeight="false" outlineLevel="0" collapsed="false">
      <c r="A230" s="7"/>
      <c r="B230" s="7"/>
      <c r="C230" s="7"/>
      <c r="D230" s="7"/>
      <c r="E230" s="7"/>
      <c r="F230" s="7"/>
      <c r="G230" s="8"/>
      <c r="H230" s="9"/>
      <c r="I230" s="9"/>
      <c r="J230" s="9"/>
      <c r="K230" s="7"/>
      <c r="L230" s="7"/>
      <c r="M230" s="9" t="str">
        <f aca="false">IF(AND(H230&lt;&gt;"",I230&lt;&gt;"",K230&lt;&gt;""),ABS(H230-I230)*K230,"")</f>
        <v/>
      </c>
      <c r="N230" s="9"/>
      <c r="O230" s="7"/>
      <c r="P230" s="9" t="str">
        <f aca="false">IF(N230&lt;&gt;"",(N230-H230)*K230*IF(E230="Buy",1,-1),"")</f>
        <v/>
      </c>
      <c r="Q230" s="10" t="str">
        <f aca="false">IF(AND(P230&lt;&gt;"",H230&lt;&gt;0,K230&lt;&gt;0),P230/(H230*K230),"")</f>
        <v/>
      </c>
      <c r="R230" s="11" t="str">
        <f aca="false">IF(AND(N230&lt;&gt;"",H230&lt;&gt;I230),IF(E230="Buy",(N230-H230)/(H230-I230),(H230-N230)/(I230-H230)),"")</f>
        <v/>
      </c>
      <c r="S230" s="7" t="str">
        <f aca="false">IF(D230="","",IF(N230&lt;&gt;"","Closed","Open"))</f>
        <v/>
      </c>
      <c r="T230" s="7"/>
    </row>
    <row r="231" customFormat="false" ht="15" hidden="false" customHeight="false" outlineLevel="0" collapsed="false">
      <c r="A231" s="7"/>
      <c r="B231" s="7"/>
      <c r="C231" s="7"/>
      <c r="D231" s="7"/>
      <c r="E231" s="7"/>
      <c r="F231" s="7"/>
      <c r="G231" s="8"/>
      <c r="H231" s="9"/>
      <c r="I231" s="9"/>
      <c r="J231" s="9"/>
      <c r="K231" s="7"/>
      <c r="L231" s="7"/>
      <c r="M231" s="9" t="str">
        <f aca="false">IF(AND(H231&lt;&gt;"",I231&lt;&gt;"",K231&lt;&gt;""),ABS(H231-I231)*K231,"")</f>
        <v/>
      </c>
      <c r="N231" s="9"/>
      <c r="O231" s="7"/>
      <c r="P231" s="9" t="str">
        <f aca="false">IF(N231&lt;&gt;"",(N231-H231)*K231*IF(E231="Buy",1,-1),"")</f>
        <v/>
      </c>
      <c r="Q231" s="10" t="str">
        <f aca="false">IF(AND(P231&lt;&gt;"",H231&lt;&gt;0,K231&lt;&gt;0),P231/(H231*K231),"")</f>
        <v/>
      </c>
      <c r="R231" s="11" t="str">
        <f aca="false">IF(AND(N231&lt;&gt;"",H231&lt;&gt;I231),IF(E231="Buy",(N231-H231)/(H231-I231),(H231-N231)/(I231-H231)),"")</f>
        <v/>
      </c>
      <c r="S231" s="7" t="str">
        <f aca="false">IF(D231="","",IF(N231&lt;&gt;"","Closed","Open"))</f>
        <v/>
      </c>
      <c r="T231" s="7"/>
    </row>
    <row r="232" customFormat="false" ht="15" hidden="false" customHeight="false" outlineLevel="0" collapsed="false">
      <c r="A232" s="7"/>
      <c r="B232" s="7"/>
      <c r="C232" s="7"/>
      <c r="D232" s="7"/>
      <c r="E232" s="7"/>
      <c r="F232" s="7"/>
      <c r="G232" s="8"/>
      <c r="H232" s="9"/>
      <c r="I232" s="9"/>
      <c r="J232" s="9"/>
      <c r="K232" s="7"/>
      <c r="L232" s="7"/>
      <c r="M232" s="9" t="str">
        <f aca="false">IF(AND(H232&lt;&gt;"",I232&lt;&gt;"",K232&lt;&gt;""),ABS(H232-I232)*K232,"")</f>
        <v/>
      </c>
      <c r="N232" s="9"/>
      <c r="O232" s="7"/>
      <c r="P232" s="9" t="str">
        <f aca="false">IF(N232&lt;&gt;"",(N232-H232)*K232*IF(E232="Buy",1,-1),"")</f>
        <v/>
      </c>
      <c r="Q232" s="10" t="str">
        <f aca="false">IF(AND(P232&lt;&gt;"",H232&lt;&gt;0,K232&lt;&gt;0),P232/(H232*K232),"")</f>
        <v/>
      </c>
      <c r="R232" s="11" t="str">
        <f aca="false">IF(AND(N232&lt;&gt;"",H232&lt;&gt;I232),IF(E232="Buy",(N232-H232)/(H232-I232),(H232-N232)/(I232-H232)),"")</f>
        <v/>
      </c>
      <c r="S232" s="7" t="str">
        <f aca="false">IF(D232="","",IF(N232&lt;&gt;"","Closed","Open"))</f>
        <v/>
      </c>
      <c r="T232" s="7"/>
    </row>
    <row r="233" customFormat="false" ht="15" hidden="false" customHeight="false" outlineLevel="0" collapsed="false">
      <c r="A233" s="7"/>
      <c r="B233" s="7"/>
      <c r="C233" s="7"/>
      <c r="D233" s="7"/>
      <c r="E233" s="7"/>
      <c r="F233" s="7"/>
      <c r="G233" s="8"/>
      <c r="H233" s="9"/>
      <c r="I233" s="9"/>
      <c r="J233" s="9"/>
      <c r="K233" s="7"/>
      <c r="L233" s="7"/>
      <c r="M233" s="9" t="str">
        <f aca="false">IF(AND(H233&lt;&gt;"",I233&lt;&gt;"",K233&lt;&gt;""),ABS(H233-I233)*K233,"")</f>
        <v/>
      </c>
      <c r="N233" s="9"/>
      <c r="O233" s="7"/>
      <c r="P233" s="9" t="str">
        <f aca="false">IF(N233&lt;&gt;"",(N233-H233)*K233*IF(E233="Buy",1,-1),"")</f>
        <v/>
      </c>
      <c r="Q233" s="10" t="str">
        <f aca="false">IF(AND(P233&lt;&gt;"",H233&lt;&gt;0,K233&lt;&gt;0),P233/(H233*K233),"")</f>
        <v/>
      </c>
      <c r="R233" s="11" t="str">
        <f aca="false">IF(AND(N233&lt;&gt;"",H233&lt;&gt;I233),IF(E233="Buy",(N233-H233)/(H233-I233),(H233-N233)/(I233-H233)),"")</f>
        <v/>
      </c>
      <c r="S233" s="7" t="str">
        <f aca="false">IF(D233="","",IF(N233&lt;&gt;"","Closed","Open"))</f>
        <v/>
      </c>
      <c r="T233" s="7"/>
    </row>
    <row r="234" customFormat="false" ht="15" hidden="false" customHeight="false" outlineLevel="0" collapsed="false">
      <c r="A234" s="7"/>
      <c r="B234" s="7"/>
      <c r="C234" s="7"/>
      <c r="D234" s="7"/>
      <c r="E234" s="7"/>
      <c r="F234" s="7"/>
      <c r="G234" s="8"/>
      <c r="H234" s="9"/>
      <c r="I234" s="9"/>
      <c r="J234" s="9"/>
      <c r="K234" s="7"/>
      <c r="L234" s="7"/>
      <c r="M234" s="9" t="str">
        <f aca="false">IF(AND(H234&lt;&gt;"",I234&lt;&gt;"",K234&lt;&gt;""),ABS(H234-I234)*K234,"")</f>
        <v/>
      </c>
      <c r="N234" s="9"/>
      <c r="O234" s="7"/>
      <c r="P234" s="9" t="str">
        <f aca="false">IF(N234&lt;&gt;"",(N234-H234)*K234*IF(E234="Buy",1,-1),"")</f>
        <v/>
      </c>
      <c r="Q234" s="10" t="str">
        <f aca="false">IF(AND(P234&lt;&gt;"",H234&lt;&gt;0,K234&lt;&gt;0),P234/(H234*K234),"")</f>
        <v/>
      </c>
      <c r="R234" s="11" t="str">
        <f aca="false">IF(AND(N234&lt;&gt;"",H234&lt;&gt;I234),IF(E234="Buy",(N234-H234)/(H234-I234),(H234-N234)/(I234-H234)),"")</f>
        <v/>
      </c>
      <c r="S234" s="7" t="str">
        <f aca="false">IF(D234="","",IF(N234&lt;&gt;"","Closed","Open"))</f>
        <v/>
      </c>
      <c r="T234" s="7"/>
    </row>
    <row r="235" customFormat="false" ht="15" hidden="false" customHeight="false" outlineLevel="0" collapsed="false">
      <c r="A235" s="7"/>
      <c r="B235" s="7"/>
      <c r="C235" s="7"/>
      <c r="D235" s="7"/>
      <c r="E235" s="7"/>
      <c r="F235" s="7"/>
      <c r="G235" s="8"/>
      <c r="H235" s="9"/>
      <c r="I235" s="9"/>
      <c r="J235" s="9"/>
      <c r="K235" s="7"/>
      <c r="L235" s="7"/>
      <c r="M235" s="9" t="str">
        <f aca="false">IF(AND(H235&lt;&gt;"",I235&lt;&gt;"",K235&lt;&gt;""),ABS(H235-I235)*K235,"")</f>
        <v/>
      </c>
      <c r="N235" s="9"/>
      <c r="O235" s="7"/>
      <c r="P235" s="9" t="str">
        <f aca="false">IF(N235&lt;&gt;"",(N235-H235)*K235*IF(E235="Buy",1,-1),"")</f>
        <v/>
      </c>
      <c r="Q235" s="10" t="str">
        <f aca="false">IF(AND(P235&lt;&gt;"",H235&lt;&gt;0,K235&lt;&gt;0),P235/(H235*K235),"")</f>
        <v/>
      </c>
      <c r="R235" s="11" t="str">
        <f aca="false">IF(AND(N235&lt;&gt;"",H235&lt;&gt;I235),IF(E235="Buy",(N235-H235)/(H235-I235),(H235-N235)/(I235-H235)),"")</f>
        <v/>
      </c>
      <c r="S235" s="7" t="str">
        <f aca="false">IF(D235="","",IF(N235&lt;&gt;"","Closed","Open"))</f>
        <v/>
      </c>
      <c r="T235" s="7"/>
    </row>
    <row r="236" customFormat="false" ht="15" hidden="false" customHeight="false" outlineLevel="0" collapsed="false">
      <c r="A236" s="7"/>
      <c r="B236" s="7"/>
      <c r="C236" s="7"/>
      <c r="D236" s="7"/>
      <c r="E236" s="7"/>
      <c r="F236" s="7"/>
      <c r="G236" s="8"/>
      <c r="H236" s="9"/>
      <c r="I236" s="9"/>
      <c r="J236" s="9"/>
      <c r="K236" s="7"/>
      <c r="L236" s="7"/>
      <c r="M236" s="9" t="str">
        <f aca="false">IF(AND(H236&lt;&gt;"",I236&lt;&gt;"",K236&lt;&gt;""),ABS(H236-I236)*K236,"")</f>
        <v/>
      </c>
      <c r="N236" s="9"/>
      <c r="O236" s="7"/>
      <c r="P236" s="9" t="str">
        <f aca="false">IF(N236&lt;&gt;"",(N236-H236)*K236*IF(E236="Buy",1,-1),"")</f>
        <v/>
      </c>
      <c r="Q236" s="10" t="str">
        <f aca="false">IF(AND(P236&lt;&gt;"",H236&lt;&gt;0,K236&lt;&gt;0),P236/(H236*K236),"")</f>
        <v/>
      </c>
      <c r="R236" s="11" t="str">
        <f aca="false">IF(AND(N236&lt;&gt;"",H236&lt;&gt;I236),IF(E236="Buy",(N236-H236)/(H236-I236),(H236-N236)/(I236-H236)),"")</f>
        <v/>
      </c>
      <c r="S236" s="7" t="str">
        <f aca="false">IF(D236="","",IF(N236&lt;&gt;"","Closed","Open"))</f>
        <v/>
      </c>
      <c r="T236" s="7"/>
    </row>
    <row r="237" customFormat="false" ht="15" hidden="false" customHeight="false" outlineLevel="0" collapsed="false">
      <c r="A237" s="7"/>
      <c r="B237" s="7"/>
      <c r="C237" s="7"/>
      <c r="D237" s="7"/>
      <c r="E237" s="7"/>
      <c r="F237" s="7"/>
      <c r="G237" s="8"/>
      <c r="H237" s="9"/>
      <c r="I237" s="9"/>
      <c r="J237" s="9"/>
      <c r="K237" s="7"/>
      <c r="L237" s="7"/>
      <c r="M237" s="9" t="str">
        <f aca="false">IF(AND(H237&lt;&gt;"",I237&lt;&gt;"",K237&lt;&gt;""),ABS(H237-I237)*K237,"")</f>
        <v/>
      </c>
      <c r="N237" s="9"/>
      <c r="O237" s="7"/>
      <c r="P237" s="9" t="str">
        <f aca="false">IF(N237&lt;&gt;"",(N237-H237)*K237*IF(E237="Buy",1,-1),"")</f>
        <v/>
      </c>
      <c r="Q237" s="10" t="str">
        <f aca="false">IF(AND(P237&lt;&gt;"",H237&lt;&gt;0,K237&lt;&gt;0),P237/(H237*K237),"")</f>
        <v/>
      </c>
      <c r="R237" s="11" t="str">
        <f aca="false">IF(AND(N237&lt;&gt;"",H237&lt;&gt;I237),IF(E237="Buy",(N237-H237)/(H237-I237),(H237-N237)/(I237-H237)),"")</f>
        <v/>
      </c>
      <c r="S237" s="7" t="str">
        <f aca="false">IF(D237="","",IF(N237&lt;&gt;"","Closed","Open"))</f>
        <v/>
      </c>
      <c r="T237" s="7"/>
    </row>
    <row r="238" customFormat="false" ht="15" hidden="false" customHeight="false" outlineLevel="0" collapsed="false">
      <c r="A238" s="7"/>
      <c r="B238" s="7"/>
      <c r="C238" s="7"/>
      <c r="D238" s="7"/>
      <c r="E238" s="7"/>
      <c r="F238" s="7"/>
      <c r="G238" s="8"/>
      <c r="H238" s="9"/>
      <c r="I238" s="9"/>
      <c r="J238" s="9"/>
      <c r="K238" s="7"/>
      <c r="L238" s="7"/>
      <c r="M238" s="9" t="str">
        <f aca="false">IF(AND(H238&lt;&gt;"",I238&lt;&gt;"",K238&lt;&gt;""),ABS(H238-I238)*K238,"")</f>
        <v/>
      </c>
      <c r="N238" s="9"/>
      <c r="O238" s="7"/>
      <c r="P238" s="9" t="str">
        <f aca="false">IF(N238&lt;&gt;"",(N238-H238)*K238*IF(E238="Buy",1,-1),"")</f>
        <v/>
      </c>
      <c r="Q238" s="10" t="str">
        <f aca="false">IF(AND(P238&lt;&gt;"",H238&lt;&gt;0,K238&lt;&gt;0),P238/(H238*K238),"")</f>
        <v/>
      </c>
      <c r="R238" s="11" t="str">
        <f aca="false">IF(AND(N238&lt;&gt;"",H238&lt;&gt;I238),IF(E238="Buy",(N238-H238)/(H238-I238),(H238-N238)/(I238-H238)),"")</f>
        <v/>
      </c>
      <c r="S238" s="7" t="str">
        <f aca="false">IF(D238="","",IF(N238&lt;&gt;"","Closed","Open"))</f>
        <v/>
      </c>
      <c r="T238" s="7"/>
    </row>
    <row r="239" customFormat="false" ht="15" hidden="false" customHeight="false" outlineLevel="0" collapsed="false">
      <c r="A239" s="7"/>
      <c r="B239" s="7"/>
      <c r="C239" s="7"/>
      <c r="D239" s="7"/>
      <c r="E239" s="7"/>
      <c r="F239" s="7"/>
      <c r="G239" s="8"/>
      <c r="H239" s="9"/>
      <c r="I239" s="9"/>
      <c r="J239" s="9"/>
      <c r="K239" s="7"/>
      <c r="L239" s="7"/>
      <c r="M239" s="9" t="str">
        <f aca="false">IF(AND(H239&lt;&gt;"",I239&lt;&gt;"",K239&lt;&gt;""),ABS(H239-I239)*K239,"")</f>
        <v/>
      </c>
      <c r="N239" s="9"/>
      <c r="O239" s="7"/>
      <c r="P239" s="9" t="str">
        <f aca="false">IF(N239&lt;&gt;"",(N239-H239)*K239*IF(E239="Buy",1,-1),"")</f>
        <v/>
      </c>
      <c r="Q239" s="10" t="str">
        <f aca="false">IF(AND(P239&lt;&gt;"",H239&lt;&gt;0,K239&lt;&gt;0),P239/(H239*K239),"")</f>
        <v/>
      </c>
      <c r="R239" s="11" t="str">
        <f aca="false">IF(AND(N239&lt;&gt;"",H239&lt;&gt;I239),IF(E239="Buy",(N239-H239)/(H239-I239),(H239-N239)/(I239-H239)),"")</f>
        <v/>
      </c>
      <c r="S239" s="7" t="str">
        <f aca="false">IF(D239="","",IF(N239&lt;&gt;"","Closed","Open"))</f>
        <v/>
      </c>
      <c r="T239" s="7"/>
    </row>
    <row r="240" customFormat="false" ht="15" hidden="false" customHeight="false" outlineLevel="0" collapsed="false">
      <c r="A240" s="7"/>
      <c r="B240" s="7"/>
      <c r="C240" s="7"/>
      <c r="D240" s="7"/>
      <c r="E240" s="7"/>
      <c r="F240" s="7"/>
      <c r="G240" s="8"/>
      <c r="H240" s="9"/>
      <c r="I240" s="9"/>
      <c r="J240" s="9"/>
      <c r="K240" s="7"/>
      <c r="L240" s="7"/>
      <c r="M240" s="9" t="str">
        <f aca="false">IF(AND(H240&lt;&gt;"",I240&lt;&gt;"",K240&lt;&gt;""),ABS(H240-I240)*K240,"")</f>
        <v/>
      </c>
      <c r="N240" s="9"/>
      <c r="O240" s="7"/>
      <c r="P240" s="9" t="str">
        <f aca="false">IF(N240&lt;&gt;"",(N240-H240)*K240*IF(E240="Buy",1,-1),"")</f>
        <v/>
      </c>
      <c r="Q240" s="10" t="str">
        <f aca="false">IF(AND(P240&lt;&gt;"",H240&lt;&gt;0,K240&lt;&gt;0),P240/(H240*K240),"")</f>
        <v/>
      </c>
      <c r="R240" s="11" t="str">
        <f aca="false">IF(AND(N240&lt;&gt;"",H240&lt;&gt;I240),IF(E240="Buy",(N240-H240)/(H240-I240),(H240-N240)/(I240-H240)),"")</f>
        <v/>
      </c>
      <c r="S240" s="7" t="str">
        <f aca="false">IF(D240="","",IF(N240&lt;&gt;"","Closed","Open"))</f>
        <v/>
      </c>
      <c r="T240" s="7"/>
    </row>
    <row r="241" customFormat="false" ht="15" hidden="false" customHeight="false" outlineLevel="0" collapsed="false">
      <c r="A241" s="7"/>
      <c r="B241" s="7"/>
      <c r="C241" s="7"/>
      <c r="D241" s="7"/>
      <c r="E241" s="7"/>
      <c r="F241" s="7"/>
      <c r="G241" s="8"/>
      <c r="H241" s="9"/>
      <c r="I241" s="9"/>
      <c r="J241" s="9"/>
      <c r="K241" s="7"/>
      <c r="L241" s="7"/>
      <c r="M241" s="9" t="str">
        <f aca="false">IF(AND(H241&lt;&gt;"",I241&lt;&gt;"",K241&lt;&gt;""),ABS(H241-I241)*K241,"")</f>
        <v/>
      </c>
      <c r="N241" s="9"/>
      <c r="O241" s="7"/>
      <c r="P241" s="9" t="str">
        <f aca="false">IF(N241&lt;&gt;"",(N241-H241)*K241*IF(E241="Buy",1,-1),"")</f>
        <v/>
      </c>
      <c r="Q241" s="10" t="str">
        <f aca="false">IF(AND(P241&lt;&gt;"",H241&lt;&gt;0,K241&lt;&gt;0),P241/(H241*K241),"")</f>
        <v/>
      </c>
      <c r="R241" s="11" t="str">
        <f aca="false">IF(AND(N241&lt;&gt;"",H241&lt;&gt;I241),IF(E241="Buy",(N241-H241)/(H241-I241),(H241-N241)/(I241-H241)),"")</f>
        <v/>
      </c>
      <c r="S241" s="7" t="str">
        <f aca="false">IF(D241="","",IF(N241&lt;&gt;"","Closed","Open"))</f>
        <v/>
      </c>
      <c r="T241" s="7"/>
    </row>
    <row r="242" customFormat="false" ht="15" hidden="false" customHeight="false" outlineLevel="0" collapsed="false">
      <c r="A242" s="7"/>
      <c r="B242" s="7"/>
      <c r="C242" s="7"/>
      <c r="D242" s="7"/>
      <c r="E242" s="7"/>
      <c r="F242" s="7"/>
      <c r="G242" s="8"/>
      <c r="H242" s="9"/>
      <c r="I242" s="9"/>
      <c r="J242" s="9"/>
      <c r="K242" s="7"/>
      <c r="L242" s="7"/>
      <c r="M242" s="9" t="str">
        <f aca="false">IF(AND(H242&lt;&gt;"",I242&lt;&gt;"",K242&lt;&gt;""),ABS(H242-I242)*K242,"")</f>
        <v/>
      </c>
      <c r="N242" s="9"/>
      <c r="O242" s="7"/>
      <c r="P242" s="9" t="str">
        <f aca="false">IF(N242&lt;&gt;"",(N242-H242)*K242*IF(E242="Buy",1,-1),"")</f>
        <v/>
      </c>
      <c r="Q242" s="10" t="str">
        <f aca="false">IF(AND(P242&lt;&gt;"",H242&lt;&gt;0,K242&lt;&gt;0),P242/(H242*K242),"")</f>
        <v/>
      </c>
      <c r="R242" s="11" t="str">
        <f aca="false">IF(AND(N242&lt;&gt;"",H242&lt;&gt;I242),IF(E242="Buy",(N242-H242)/(H242-I242),(H242-N242)/(I242-H242)),"")</f>
        <v/>
      </c>
      <c r="S242" s="7" t="str">
        <f aca="false">IF(D242="","",IF(N242&lt;&gt;"","Closed","Open"))</f>
        <v/>
      </c>
      <c r="T242" s="7"/>
    </row>
    <row r="243" customFormat="false" ht="15" hidden="false" customHeight="false" outlineLevel="0" collapsed="false">
      <c r="A243" s="7"/>
      <c r="B243" s="7"/>
      <c r="C243" s="7"/>
      <c r="D243" s="7"/>
      <c r="E243" s="7"/>
      <c r="F243" s="7"/>
      <c r="G243" s="8"/>
      <c r="H243" s="9"/>
      <c r="I243" s="9"/>
      <c r="J243" s="9"/>
      <c r="K243" s="7"/>
      <c r="L243" s="7"/>
      <c r="M243" s="9" t="str">
        <f aca="false">IF(AND(H243&lt;&gt;"",I243&lt;&gt;"",K243&lt;&gt;""),ABS(H243-I243)*K243,"")</f>
        <v/>
      </c>
      <c r="N243" s="9"/>
      <c r="O243" s="7"/>
      <c r="P243" s="9" t="str">
        <f aca="false">IF(N243&lt;&gt;"",(N243-H243)*K243*IF(E243="Buy",1,-1),"")</f>
        <v/>
      </c>
      <c r="Q243" s="10" t="str">
        <f aca="false">IF(AND(P243&lt;&gt;"",H243&lt;&gt;0,K243&lt;&gt;0),P243/(H243*K243),"")</f>
        <v/>
      </c>
      <c r="R243" s="11" t="str">
        <f aca="false">IF(AND(N243&lt;&gt;"",H243&lt;&gt;I243),IF(E243="Buy",(N243-H243)/(H243-I243),(H243-N243)/(I243-H243)),"")</f>
        <v/>
      </c>
      <c r="S243" s="7" t="str">
        <f aca="false">IF(D243="","",IF(N243&lt;&gt;"","Closed","Open"))</f>
        <v/>
      </c>
      <c r="T243" s="7"/>
    </row>
    <row r="244" customFormat="false" ht="15" hidden="false" customHeight="false" outlineLevel="0" collapsed="false">
      <c r="A244" s="7"/>
      <c r="B244" s="7"/>
      <c r="C244" s="7"/>
      <c r="D244" s="7"/>
      <c r="E244" s="7"/>
      <c r="F244" s="7"/>
      <c r="G244" s="8"/>
      <c r="H244" s="9"/>
      <c r="I244" s="9"/>
      <c r="J244" s="9"/>
      <c r="K244" s="7"/>
      <c r="L244" s="7"/>
      <c r="M244" s="9" t="str">
        <f aca="false">IF(AND(H244&lt;&gt;"",I244&lt;&gt;"",K244&lt;&gt;""),ABS(H244-I244)*K244,"")</f>
        <v/>
      </c>
      <c r="N244" s="9"/>
      <c r="O244" s="7"/>
      <c r="P244" s="9" t="str">
        <f aca="false">IF(N244&lt;&gt;"",(N244-H244)*K244*IF(E244="Buy",1,-1),"")</f>
        <v/>
      </c>
      <c r="Q244" s="10" t="str">
        <f aca="false">IF(AND(P244&lt;&gt;"",H244&lt;&gt;0,K244&lt;&gt;0),P244/(H244*K244),"")</f>
        <v/>
      </c>
      <c r="R244" s="11" t="str">
        <f aca="false">IF(AND(N244&lt;&gt;"",H244&lt;&gt;I244),IF(E244="Buy",(N244-H244)/(H244-I244),(H244-N244)/(I244-H244)),"")</f>
        <v/>
      </c>
      <c r="S244" s="7" t="str">
        <f aca="false">IF(D244="","",IF(N244&lt;&gt;"","Closed","Open"))</f>
        <v/>
      </c>
      <c r="T244" s="7"/>
    </row>
    <row r="245" customFormat="false" ht="15" hidden="false" customHeight="false" outlineLevel="0" collapsed="false">
      <c r="A245" s="7"/>
      <c r="B245" s="7"/>
      <c r="C245" s="7"/>
      <c r="D245" s="7"/>
      <c r="E245" s="7"/>
      <c r="F245" s="7"/>
      <c r="G245" s="8"/>
      <c r="H245" s="9"/>
      <c r="I245" s="9"/>
      <c r="J245" s="9"/>
      <c r="K245" s="7"/>
      <c r="L245" s="7"/>
      <c r="M245" s="9" t="str">
        <f aca="false">IF(AND(H245&lt;&gt;"",I245&lt;&gt;"",K245&lt;&gt;""),ABS(H245-I245)*K245,"")</f>
        <v/>
      </c>
      <c r="N245" s="9"/>
      <c r="O245" s="7"/>
      <c r="P245" s="9" t="str">
        <f aca="false">IF(N245&lt;&gt;"",(N245-H245)*K245*IF(E245="Buy",1,-1),"")</f>
        <v/>
      </c>
      <c r="Q245" s="10" t="str">
        <f aca="false">IF(AND(P245&lt;&gt;"",H245&lt;&gt;0,K245&lt;&gt;0),P245/(H245*K245),"")</f>
        <v/>
      </c>
      <c r="R245" s="11" t="str">
        <f aca="false">IF(AND(N245&lt;&gt;"",H245&lt;&gt;I245),IF(E245="Buy",(N245-H245)/(H245-I245),(H245-N245)/(I245-H245)),"")</f>
        <v/>
      </c>
      <c r="S245" s="7" t="str">
        <f aca="false">IF(D245="","",IF(N245&lt;&gt;"","Closed","Open"))</f>
        <v/>
      </c>
      <c r="T245" s="7"/>
    </row>
    <row r="246" customFormat="false" ht="15" hidden="false" customHeight="false" outlineLevel="0" collapsed="false">
      <c r="A246" s="7"/>
      <c r="B246" s="7"/>
      <c r="C246" s="7"/>
      <c r="D246" s="7"/>
      <c r="E246" s="7"/>
      <c r="F246" s="7"/>
      <c r="G246" s="8"/>
      <c r="H246" s="9"/>
      <c r="I246" s="9"/>
      <c r="J246" s="9"/>
      <c r="K246" s="7"/>
      <c r="L246" s="7"/>
      <c r="M246" s="9" t="str">
        <f aca="false">IF(AND(H246&lt;&gt;"",I246&lt;&gt;"",K246&lt;&gt;""),ABS(H246-I246)*K246,"")</f>
        <v/>
      </c>
      <c r="N246" s="9"/>
      <c r="O246" s="7"/>
      <c r="P246" s="9" t="str">
        <f aca="false">IF(N246&lt;&gt;"",(N246-H246)*K246*IF(E246="Buy",1,-1),"")</f>
        <v/>
      </c>
      <c r="Q246" s="10" t="str">
        <f aca="false">IF(AND(P246&lt;&gt;"",H246&lt;&gt;0,K246&lt;&gt;0),P246/(H246*K246),"")</f>
        <v/>
      </c>
      <c r="R246" s="11" t="str">
        <f aca="false">IF(AND(N246&lt;&gt;"",H246&lt;&gt;I246),IF(E246="Buy",(N246-H246)/(H246-I246),(H246-N246)/(I246-H246)),"")</f>
        <v/>
      </c>
      <c r="S246" s="7" t="str">
        <f aca="false">IF(D246="","",IF(N246&lt;&gt;"","Closed","Open"))</f>
        <v/>
      </c>
      <c r="T246" s="7"/>
    </row>
    <row r="247" customFormat="false" ht="15" hidden="false" customHeight="false" outlineLevel="0" collapsed="false">
      <c r="A247" s="7"/>
      <c r="B247" s="7"/>
      <c r="C247" s="7"/>
      <c r="D247" s="7"/>
      <c r="E247" s="7"/>
      <c r="F247" s="7"/>
      <c r="G247" s="8"/>
      <c r="H247" s="9"/>
      <c r="I247" s="9"/>
      <c r="J247" s="9"/>
      <c r="K247" s="7"/>
      <c r="L247" s="7"/>
      <c r="M247" s="9" t="str">
        <f aca="false">IF(AND(H247&lt;&gt;"",I247&lt;&gt;"",K247&lt;&gt;""),ABS(H247-I247)*K247,"")</f>
        <v/>
      </c>
      <c r="N247" s="9"/>
      <c r="O247" s="7"/>
      <c r="P247" s="9" t="str">
        <f aca="false">IF(N247&lt;&gt;"",(N247-H247)*K247*IF(E247="Buy",1,-1),"")</f>
        <v/>
      </c>
      <c r="Q247" s="10" t="str">
        <f aca="false">IF(AND(P247&lt;&gt;"",H247&lt;&gt;0,K247&lt;&gt;0),P247/(H247*K247),"")</f>
        <v/>
      </c>
      <c r="R247" s="11" t="str">
        <f aca="false">IF(AND(N247&lt;&gt;"",H247&lt;&gt;I247),IF(E247="Buy",(N247-H247)/(H247-I247),(H247-N247)/(I247-H247)),"")</f>
        <v/>
      </c>
      <c r="S247" s="7" t="str">
        <f aca="false">IF(D247="","",IF(N247&lt;&gt;"","Closed","Open"))</f>
        <v/>
      </c>
      <c r="T247" s="7"/>
    </row>
    <row r="248" customFormat="false" ht="15" hidden="false" customHeight="false" outlineLevel="0" collapsed="false">
      <c r="A248" s="7"/>
      <c r="B248" s="7"/>
      <c r="C248" s="7"/>
      <c r="D248" s="7"/>
      <c r="E248" s="7"/>
      <c r="F248" s="7"/>
      <c r="G248" s="8"/>
      <c r="H248" s="9"/>
      <c r="I248" s="9"/>
      <c r="J248" s="9"/>
      <c r="K248" s="7"/>
      <c r="L248" s="7"/>
      <c r="M248" s="9" t="str">
        <f aca="false">IF(AND(H248&lt;&gt;"",I248&lt;&gt;"",K248&lt;&gt;""),ABS(H248-I248)*K248,"")</f>
        <v/>
      </c>
      <c r="N248" s="9"/>
      <c r="O248" s="7"/>
      <c r="P248" s="9" t="str">
        <f aca="false">IF(N248&lt;&gt;"",(N248-H248)*K248*IF(E248="Buy",1,-1),"")</f>
        <v/>
      </c>
      <c r="Q248" s="10" t="str">
        <f aca="false">IF(AND(P248&lt;&gt;"",H248&lt;&gt;0,K248&lt;&gt;0),P248/(H248*K248),"")</f>
        <v/>
      </c>
      <c r="R248" s="11" t="str">
        <f aca="false">IF(AND(N248&lt;&gt;"",H248&lt;&gt;I248),IF(E248="Buy",(N248-H248)/(H248-I248),(H248-N248)/(I248-H248)),"")</f>
        <v/>
      </c>
      <c r="S248" s="7" t="str">
        <f aca="false">IF(D248="","",IF(N248&lt;&gt;"","Closed","Open"))</f>
        <v/>
      </c>
      <c r="T248" s="7"/>
    </row>
    <row r="249" customFormat="false" ht="15" hidden="false" customHeight="false" outlineLevel="0" collapsed="false">
      <c r="A249" s="7"/>
      <c r="B249" s="7"/>
      <c r="C249" s="7"/>
      <c r="D249" s="7"/>
      <c r="E249" s="7"/>
      <c r="F249" s="7"/>
      <c r="G249" s="8"/>
      <c r="H249" s="9"/>
      <c r="I249" s="9"/>
      <c r="J249" s="9"/>
      <c r="K249" s="7"/>
      <c r="L249" s="7"/>
      <c r="M249" s="9" t="str">
        <f aca="false">IF(AND(H249&lt;&gt;"",I249&lt;&gt;"",K249&lt;&gt;""),ABS(H249-I249)*K249,"")</f>
        <v/>
      </c>
      <c r="N249" s="9"/>
      <c r="O249" s="7"/>
      <c r="P249" s="9" t="str">
        <f aca="false">IF(N249&lt;&gt;"",(N249-H249)*K249*IF(E249="Buy",1,-1),"")</f>
        <v/>
      </c>
      <c r="Q249" s="10" t="str">
        <f aca="false">IF(AND(P249&lt;&gt;"",H249&lt;&gt;0,K249&lt;&gt;0),P249/(H249*K249),"")</f>
        <v/>
      </c>
      <c r="R249" s="11" t="str">
        <f aca="false">IF(AND(N249&lt;&gt;"",H249&lt;&gt;I249),IF(E249="Buy",(N249-H249)/(H249-I249),(H249-N249)/(I249-H249)),"")</f>
        <v/>
      </c>
      <c r="S249" s="7" t="str">
        <f aca="false">IF(D249="","",IF(N249&lt;&gt;"","Closed","Open"))</f>
        <v/>
      </c>
      <c r="T249" s="7"/>
    </row>
    <row r="250" customFormat="false" ht="15" hidden="false" customHeight="false" outlineLevel="0" collapsed="false">
      <c r="A250" s="7"/>
      <c r="B250" s="7"/>
      <c r="C250" s="7"/>
      <c r="D250" s="7"/>
      <c r="E250" s="7"/>
      <c r="F250" s="7"/>
      <c r="G250" s="8"/>
      <c r="H250" s="9"/>
      <c r="I250" s="9"/>
      <c r="J250" s="9"/>
      <c r="K250" s="7"/>
      <c r="L250" s="7"/>
      <c r="M250" s="9" t="str">
        <f aca="false">IF(AND(H250&lt;&gt;"",I250&lt;&gt;"",K250&lt;&gt;""),ABS(H250-I250)*K250,"")</f>
        <v/>
      </c>
      <c r="N250" s="9"/>
      <c r="O250" s="7"/>
      <c r="P250" s="9" t="str">
        <f aca="false">IF(N250&lt;&gt;"",(N250-H250)*K250*IF(E250="Buy",1,-1),"")</f>
        <v/>
      </c>
      <c r="Q250" s="10" t="str">
        <f aca="false">IF(AND(P250&lt;&gt;"",H250&lt;&gt;0,K250&lt;&gt;0),P250/(H250*K250),"")</f>
        <v/>
      </c>
      <c r="R250" s="11" t="str">
        <f aca="false">IF(AND(N250&lt;&gt;"",H250&lt;&gt;I250),IF(E250="Buy",(N250-H250)/(H250-I250),(H250-N250)/(I250-H250)),"")</f>
        <v/>
      </c>
      <c r="S250" s="7" t="str">
        <f aca="false">IF(D250="","",IF(N250&lt;&gt;"","Closed","Open"))</f>
        <v/>
      </c>
      <c r="T250" s="7"/>
    </row>
    <row r="251" customFormat="false" ht="15" hidden="false" customHeight="false" outlineLevel="0" collapsed="false">
      <c r="A251" s="7"/>
      <c r="B251" s="7"/>
      <c r="C251" s="7"/>
      <c r="D251" s="7"/>
      <c r="E251" s="7"/>
      <c r="F251" s="7"/>
      <c r="G251" s="8"/>
      <c r="H251" s="9"/>
      <c r="I251" s="9"/>
      <c r="J251" s="9"/>
      <c r="K251" s="7"/>
      <c r="L251" s="7"/>
      <c r="M251" s="9" t="str">
        <f aca="false">IF(AND(H251&lt;&gt;"",I251&lt;&gt;"",K251&lt;&gt;""),ABS(H251-I251)*K251,"")</f>
        <v/>
      </c>
      <c r="N251" s="9"/>
      <c r="O251" s="7"/>
      <c r="P251" s="9" t="str">
        <f aca="false">IF(N251&lt;&gt;"",(N251-H251)*K251*IF(E251="Buy",1,-1),"")</f>
        <v/>
      </c>
      <c r="Q251" s="10" t="str">
        <f aca="false">IF(AND(P251&lt;&gt;"",H251&lt;&gt;0,K251&lt;&gt;0),P251/(H251*K251),"")</f>
        <v/>
      </c>
      <c r="R251" s="11" t="str">
        <f aca="false">IF(AND(N251&lt;&gt;"",H251&lt;&gt;I251),IF(E251="Buy",(N251-H251)/(H251-I251),(H251-N251)/(I251-H251)),"")</f>
        <v/>
      </c>
      <c r="S251" s="7" t="str">
        <f aca="false">IF(D251="","",IF(N251&lt;&gt;"","Closed","Open"))</f>
        <v/>
      </c>
      <c r="T251" s="7"/>
    </row>
    <row r="252" customFormat="false" ht="15" hidden="false" customHeight="false" outlineLevel="0" collapsed="false">
      <c r="A252" s="7"/>
      <c r="B252" s="7"/>
      <c r="C252" s="7"/>
      <c r="D252" s="7"/>
      <c r="E252" s="7"/>
      <c r="F252" s="7"/>
      <c r="G252" s="8"/>
      <c r="H252" s="9"/>
      <c r="I252" s="9"/>
      <c r="J252" s="9"/>
      <c r="K252" s="7"/>
      <c r="L252" s="7"/>
      <c r="M252" s="9" t="str">
        <f aca="false">IF(AND(H252&lt;&gt;"",I252&lt;&gt;"",K252&lt;&gt;""),ABS(H252-I252)*K252,"")</f>
        <v/>
      </c>
      <c r="N252" s="9"/>
      <c r="O252" s="7"/>
      <c r="P252" s="9" t="str">
        <f aca="false">IF(N252&lt;&gt;"",(N252-H252)*K252*IF(E252="Buy",1,-1),"")</f>
        <v/>
      </c>
      <c r="Q252" s="10" t="str">
        <f aca="false">IF(AND(P252&lt;&gt;"",H252&lt;&gt;0,K252&lt;&gt;0),P252/(H252*K252),"")</f>
        <v/>
      </c>
      <c r="R252" s="11" t="str">
        <f aca="false">IF(AND(N252&lt;&gt;"",H252&lt;&gt;I252),IF(E252="Buy",(N252-H252)/(H252-I252),(H252-N252)/(I252-H252)),"")</f>
        <v/>
      </c>
      <c r="S252" s="7" t="str">
        <f aca="false">IF(D252="","",IF(N252&lt;&gt;"","Closed","Open"))</f>
        <v/>
      </c>
      <c r="T252" s="7"/>
    </row>
    <row r="253" customFormat="false" ht="15" hidden="false" customHeight="false" outlineLevel="0" collapsed="false">
      <c r="A253" s="7"/>
      <c r="B253" s="7"/>
      <c r="C253" s="7"/>
      <c r="D253" s="7"/>
      <c r="E253" s="7"/>
      <c r="F253" s="7"/>
      <c r="G253" s="8"/>
      <c r="H253" s="9"/>
      <c r="I253" s="9"/>
      <c r="J253" s="9"/>
      <c r="K253" s="7"/>
      <c r="L253" s="7"/>
      <c r="M253" s="9" t="str">
        <f aca="false">IF(AND(H253&lt;&gt;"",I253&lt;&gt;"",K253&lt;&gt;""),ABS(H253-I253)*K253,"")</f>
        <v/>
      </c>
      <c r="N253" s="9"/>
      <c r="O253" s="7"/>
      <c r="P253" s="9" t="str">
        <f aca="false">IF(N253&lt;&gt;"",(N253-H253)*K253*IF(E253="Buy",1,-1),"")</f>
        <v/>
      </c>
      <c r="Q253" s="10" t="str">
        <f aca="false">IF(AND(P253&lt;&gt;"",H253&lt;&gt;0,K253&lt;&gt;0),P253/(H253*K253),"")</f>
        <v/>
      </c>
      <c r="R253" s="11" t="str">
        <f aca="false">IF(AND(N253&lt;&gt;"",H253&lt;&gt;I253),IF(E253="Buy",(N253-H253)/(H253-I253),(H253-N253)/(I253-H253)),"")</f>
        <v/>
      </c>
      <c r="S253" s="7" t="str">
        <f aca="false">IF(D253="","",IF(N253&lt;&gt;"","Closed","Open"))</f>
        <v/>
      </c>
      <c r="T253" s="7"/>
    </row>
    <row r="254" customFormat="false" ht="15" hidden="false" customHeight="false" outlineLevel="0" collapsed="false">
      <c r="A254" s="7"/>
      <c r="B254" s="7"/>
      <c r="C254" s="7"/>
      <c r="D254" s="7"/>
      <c r="E254" s="7"/>
      <c r="F254" s="7"/>
      <c r="G254" s="8"/>
      <c r="H254" s="9"/>
      <c r="I254" s="9"/>
      <c r="J254" s="9"/>
      <c r="K254" s="7"/>
      <c r="L254" s="7"/>
      <c r="M254" s="9" t="str">
        <f aca="false">IF(AND(H254&lt;&gt;"",I254&lt;&gt;"",K254&lt;&gt;""),ABS(H254-I254)*K254,"")</f>
        <v/>
      </c>
      <c r="N254" s="9"/>
      <c r="O254" s="7"/>
      <c r="P254" s="9" t="str">
        <f aca="false">IF(N254&lt;&gt;"",(N254-H254)*K254*IF(E254="Buy",1,-1),"")</f>
        <v/>
      </c>
      <c r="Q254" s="10" t="str">
        <f aca="false">IF(AND(P254&lt;&gt;"",H254&lt;&gt;0,K254&lt;&gt;0),P254/(H254*K254),"")</f>
        <v/>
      </c>
      <c r="R254" s="11" t="str">
        <f aca="false">IF(AND(N254&lt;&gt;"",H254&lt;&gt;I254),IF(E254="Buy",(N254-H254)/(H254-I254),(H254-N254)/(I254-H254)),"")</f>
        <v/>
      </c>
      <c r="S254" s="7" t="str">
        <f aca="false">IF(D254="","",IF(N254&lt;&gt;"","Closed","Open"))</f>
        <v/>
      </c>
      <c r="T254" s="7"/>
    </row>
    <row r="255" customFormat="false" ht="15" hidden="false" customHeight="false" outlineLevel="0" collapsed="false">
      <c r="A255" s="7"/>
      <c r="B255" s="7"/>
      <c r="C255" s="7"/>
      <c r="D255" s="7"/>
      <c r="E255" s="7"/>
      <c r="F255" s="7"/>
      <c r="G255" s="8"/>
      <c r="H255" s="9"/>
      <c r="I255" s="9"/>
      <c r="J255" s="9"/>
      <c r="K255" s="7"/>
      <c r="L255" s="7"/>
      <c r="M255" s="9" t="str">
        <f aca="false">IF(AND(H255&lt;&gt;"",I255&lt;&gt;"",K255&lt;&gt;""),ABS(H255-I255)*K255,"")</f>
        <v/>
      </c>
      <c r="N255" s="9"/>
      <c r="O255" s="7"/>
      <c r="P255" s="9" t="str">
        <f aca="false">IF(N255&lt;&gt;"",(N255-H255)*K255*IF(E255="Buy",1,-1),"")</f>
        <v/>
      </c>
      <c r="Q255" s="10" t="str">
        <f aca="false">IF(AND(P255&lt;&gt;"",H255&lt;&gt;0,K255&lt;&gt;0),P255/(H255*K255),"")</f>
        <v/>
      </c>
      <c r="R255" s="11" t="str">
        <f aca="false">IF(AND(N255&lt;&gt;"",H255&lt;&gt;I255),IF(E255="Buy",(N255-H255)/(H255-I255),(H255-N255)/(I255-H255)),"")</f>
        <v/>
      </c>
      <c r="S255" s="7" t="str">
        <f aca="false">IF(D255="","",IF(N255&lt;&gt;"","Closed","Open"))</f>
        <v/>
      </c>
      <c r="T255" s="7"/>
    </row>
    <row r="256" customFormat="false" ht="15" hidden="false" customHeight="false" outlineLevel="0" collapsed="false">
      <c r="A256" s="7"/>
      <c r="B256" s="7"/>
      <c r="C256" s="7"/>
      <c r="D256" s="7"/>
      <c r="E256" s="7"/>
      <c r="F256" s="7"/>
      <c r="G256" s="8"/>
      <c r="H256" s="9"/>
      <c r="I256" s="9"/>
      <c r="J256" s="9"/>
      <c r="K256" s="7"/>
      <c r="L256" s="7"/>
      <c r="M256" s="9" t="str">
        <f aca="false">IF(AND(H256&lt;&gt;"",I256&lt;&gt;"",K256&lt;&gt;""),ABS(H256-I256)*K256,"")</f>
        <v/>
      </c>
      <c r="N256" s="9"/>
      <c r="O256" s="7"/>
      <c r="P256" s="9" t="str">
        <f aca="false">IF(N256&lt;&gt;"",(N256-H256)*K256*IF(E256="Buy",1,-1),"")</f>
        <v/>
      </c>
      <c r="Q256" s="10" t="str">
        <f aca="false">IF(AND(P256&lt;&gt;"",H256&lt;&gt;0,K256&lt;&gt;0),P256/(H256*K256),"")</f>
        <v/>
      </c>
      <c r="R256" s="11" t="str">
        <f aca="false">IF(AND(N256&lt;&gt;"",H256&lt;&gt;I256),IF(E256="Buy",(N256-H256)/(H256-I256),(H256-N256)/(I256-H256)),"")</f>
        <v/>
      </c>
      <c r="S256" s="7" t="str">
        <f aca="false">IF(D256="","",IF(N256&lt;&gt;"","Closed","Open"))</f>
        <v/>
      </c>
      <c r="T256" s="7"/>
    </row>
    <row r="257" customFormat="false" ht="15" hidden="false" customHeight="false" outlineLevel="0" collapsed="false">
      <c r="A257" s="7"/>
      <c r="B257" s="7"/>
      <c r="C257" s="7"/>
      <c r="D257" s="7"/>
      <c r="E257" s="7"/>
      <c r="F257" s="7"/>
      <c r="G257" s="8"/>
      <c r="H257" s="9"/>
      <c r="I257" s="9"/>
      <c r="J257" s="9"/>
      <c r="K257" s="7"/>
      <c r="L257" s="7"/>
      <c r="M257" s="9" t="str">
        <f aca="false">IF(AND(H257&lt;&gt;"",I257&lt;&gt;"",K257&lt;&gt;""),ABS(H257-I257)*K257,"")</f>
        <v/>
      </c>
      <c r="N257" s="9"/>
      <c r="O257" s="7"/>
      <c r="P257" s="9" t="str">
        <f aca="false">IF(N257&lt;&gt;"",(N257-H257)*K257*IF(E257="Buy",1,-1),"")</f>
        <v/>
      </c>
      <c r="Q257" s="10" t="str">
        <f aca="false">IF(AND(P257&lt;&gt;"",H257&lt;&gt;0,K257&lt;&gt;0),P257/(H257*K257),"")</f>
        <v/>
      </c>
      <c r="R257" s="11" t="str">
        <f aca="false">IF(AND(N257&lt;&gt;"",H257&lt;&gt;I257),IF(E257="Buy",(N257-H257)/(H257-I257),(H257-N257)/(I257-H257)),"")</f>
        <v/>
      </c>
      <c r="S257" s="7" t="str">
        <f aca="false">IF(D257="","",IF(N257&lt;&gt;"","Closed","Open"))</f>
        <v/>
      </c>
      <c r="T257" s="7"/>
    </row>
    <row r="258" customFormat="false" ht="15" hidden="false" customHeight="false" outlineLevel="0" collapsed="false">
      <c r="A258" s="7"/>
      <c r="B258" s="7"/>
      <c r="C258" s="7"/>
      <c r="D258" s="7"/>
      <c r="E258" s="7"/>
      <c r="F258" s="7"/>
      <c r="G258" s="8"/>
      <c r="H258" s="9"/>
      <c r="I258" s="9"/>
      <c r="J258" s="9"/>
      <c r="K258" s="7"/>
      <c r="L258" s="7"/>
      <c r="M258" s="9" t="str">
        <f aca="false">IF(AND(H258&lt;&gt;"",I258&lt;&gt;"",K258&lt;&gt;""),ABS(H258-I258)*K258,"")</f>
        <v/>
      </c>
      <c r="N258" s="9"/>
      <c r="O258" s="7"/>
      <c r="P258" s="9" t="str">
        <f aca="false">IF(N258&lt;&gt;"",(N258-H258)*K258*IF(E258="Buy",1,-1),"")</f>
        <v/>
      </c>
      <c r="Q258" s="10" t="str">
        <f aca="false">IF(AND(P258&lt;&gt;"",H258&lt;&gt;0,K258&lt;&gt;0),P258/(H258*K258),"")</f>
        <v/>
      </c>
      <c r="R258" s="11" t="str">
        <f aca="false">IF(AND(N258&lt;&gt;"",H258&lt;&gt;I258),IF(E258="Buy",(N258-H258)/(H258-I258),(H258-N258)/(I258-H258)),"")</f>
        <v/>
      </c>
      <c r="S258" s="7" t="str">
        <f aca="false">IF(D258="","",IF(N258&lt;&gt;"","Closed","Open"))</f>
        <v/>
      </c>
      <c r="T258" s="7"/>
    </row>
    <row r="259" customFormat="false" ht="15" hidden="false" customHeight="false" outlineLevel="0" collapsed="false">
      <c r="A259" s="7"/>
      <c r="B259" s="7"/>
      <c r="C259" s="7"/>
      <c r="D259" s="7"/>
      <c r="E259" s="7"/>
      <c r="F259" s="7"/>
      <c r="G259" s="8"/>
      <c r="H259" s="9"/>
      <c r="I259" s="9"/>
      <c r="J259" s="9"/>
      <c r="K259" s="7"/>
      <c r="L259" s="7"/>
      <c r="M259" s="9" t="str">
        <f aca="false">IF(AND(H259&lt;&gt;"",I259&lt;&gt;"",K259&lt;&gt;""),ABS(H259-I259)*K259,"")</f>
        <v/>
      </c>
      <c r="N259" s="9"/>
      <c r="O259" s="7"/>
      <c r="P259" s="9" t="str">
        <f aca="false">IF(N259&lt;&gt;"",(N259-H259)*K259*IF(E259="Buy",1,-1),"")</f>
        <v/>
      </c>
      <c r="Q259" s="10" t="str">
        <f aca="false">IF(AND(P259&lt;&gt;"",H259&lt;&gt;0,K259&lt;&gt;0),P259/(H259*K259),"")</f>
        <v/>
      </c>
      <c r="R259" s="11" t="str">
        <f aca="false">IF(AND(N259&lt;&gt;"",H259&lt;&gt;I259),IF(E259="Buy",(N259-H259)/(H259-I259),(H259-N259)/(I259-H259)),"")</f>
        <v/>
      </c>
      <c r="S259" s="7" t="str">
        <f aca="false">IF(D259="","",IF(N259&lt;&gt;"","Closed","Open"))</f>
        <v/>
      </c>
      <c r="T259" s="7"/>
    </row>
    <row r="260" customFormat="false" ht="15" hidden="false" customHeight="false" outlineLevel="0" collapsed="false">
      <c r="A260" s="7"/>
      <c r="B260" s="7"/>
      <c r="C260" s="7"/>
      <c r="D260" s="7"/>
      <c r="E260" s="7"/>
      <c r="F260" s="7"/>
      <c r="G260" s="8"/>
      <c r="H260" s="9"/>
      <c r="I260" s="9"/>
      <c r="J260" s="9"/>
      <c r="K260" s="7"/>
      <c r="L260" s="7"/>
      <c r="M260" s="9" t="str">
        <f aca="false">IF(AND(H260&lt;&gt;"",I260&lt;&gt;"",K260&lt;&gt;""),ABS(H260-I260)*K260,"")</f>
        <v/>
      </c>
      <c r="N260" s="9"/>
      <c r="O260" s="7"/>
      <c r="P260" s="9" t="str">
        <f aca="false">IF(N260&lt;&gt;"",(N260-H260)*K260*IF(E260="Buy",1,-1),"")</f>
        <v/>
      </c>
      <c r="Q260" s="10" t="str">
        <f aca="false">IF(AND(P260&lt;&gt;"",H260&lt;&gt;0,K260&lt;&gt;0),P260/(H260*K260),"")</f>
        <v/>
      </c>
      <c r="R260" s="11" t="str">
        <f aca="false">IF(AND(N260&lt;&gt;"",H260&lt;&gt;I260),IF(E260="Buy",(N260-H260)/(H260-I260),(H260-N260)/(I260-H260)),"")</f>
        <v/>
      </c>
      <c r="S260" s="7" t="str">
        <f aca="false">IF(D260="","",IF(N260&lt;&gt;"","Closed","Open"))</f>
        <v/>
      </c>
      <c r="T260" s="7"/>
    </row>
    <row r="261" customFormat="false" ht="15" hidden="false" customHeight="false" outlineLevel="0" collapsed="false">
      <c r="A261" s="7"/>
      <c r="B261" s="7"/>
      <c r="C261" s="7"/>
      <c r="D261" s="7"/>
      <c r="E261" s="7"/>
      <c r="F261" s="7"/>
      <c r="G261" s="8"/>
      <c r="H261" s="9"/>
      <c r="I261" s="9"/>
      <c r="J261" s="9"/>
      <c r="K261" s="7"/>
      <c r="L261" s="7"/>
      <c r="M261" s="9" t="str">
        <f aca="false">IF(AND(H261&lt;&gt;"",I261&lt;&gt;"",K261&lt;&gt;""),ABS(H261-I261)*K261,"")</f>
        <v/>
      </c>
      <c r="N261" s="9"/>
      <c r="O261" s="7"/>
      <c r="P261" s="9" t="str">
        <f aca="false">IF(N261&lt;&gt;"",(N261-H261)*K261*IF(E261="Buy",1,-1),"")</f>
        <v/>
      </c>
      <c r="Q261" s="10" t="str">
        <f aca="false">IF(AND(P261&lt;&gt;"",H261&lt;&gt;0,K261&lt;&gt;0),P261/(H261*K261),"")</f>
        <v/>
      </c>
      <c r="R261" s="11" t="str">
        <f aca="false">IF(AND(N261&lt;&gt;"",H261&lt;&gt;I261),IF(E261="Buy",(N261-H261)/(H261-I261),(H261-N261)/(I261-H261)),"")</f>
        <v/>
      </c>
      <c r="S261" s="7" t="str">
        <f aca="false">IF(D261="","",IF(N261&lt;&gt;"","Closed","Open"))</f>
        <v/>
      </c>
      <c r="T261" s="7"/>
    </row>
    <row r="262" customFormat="false" ht="15" hidden="false" customHeight="false" outlineLevel="0" collapsed="false">
      <c r="A262" s="7"/>
      <c r="B262" s="7"/>
      <c r="C262" s="7"/>
      <c r="D262" s="7"/>
      <c r="E262" s="7"/>
      <c r="F262" s="7"/>
      <c r="G262" s="8"/>
      <c r="H262" s="9"/>
      <c r="I262" s="9"/>
      <c r="J262" s="9"/>
      <c r="K262" s="7"/>
      <c r="L262" s="7"/>
      <c r="M262" s="9" t="str">
        <f aca="false">IF(AND(H262&lt;&gt;"",I262&lt;&gt;"",K262&lt;&gt;""),ABS(H262-I262)*K262,"")</f>
        <v/>
      </c>
      <c r="N262" s="9"/>
      <c r="O262" s="7"/>
      <c r="P262" s="9" t="str">
        <f aca="false">IF(N262&lt;&gt;"",(N262-H262)*K262*IF(E262="Buy",1,-1),"")</f>
        <v/>
      </c>
      <c r="Q262" s="10" t="str">
        <f aca="false">IF(AND(P262&lt;&gt;"",H262&lt;&gt;0,K262&lt;&gt;0),P262/(H262*K262),"")</f>
        <v/>
      </c>
      <c r="R262" s="11" t="str">
        <f aca="false">IF(AND(N262&lt;&gt;"",H262&lt;&gt;I262),IF(E262="Buy",(N262-H262)/(H262-I262),(H262-N262)/(I262-H262)),"")</f>
        <v/>
      </c>
      <c r="S262" s="7" t="str">
        <f aca="false">IF(D262="","",IF(N262&lt;&gt;"","Closed","Open"))</f>
        <v/>
      </c>
      <c r="T262" s="7"/>
    </row>
    <row r="263" customFormat="false" ht="15" hidden="false" customHeight="false" outlineLevel="0" collapsed="false">
      <c r="A263" s="7"/>
      <c r="B263" s="7"/>
      <c r="C263" s="7"/>
      <c r="D263" s="7"/>
      <c r="E263" s="7"/>
      <c r="F263" s="7"/>
      <c r="G263" s="8"/>
      <c r="H263" s="9"/>
      <c r="I263" s="9"/>
      <c r="J263" s="9"/>
      <c r="K263" s="7"/>
      <c r="L263" s="7"/>
      <c r="M263" s="9" t="str">
        <f aca="false">IF(AND(H263&lt;&gt;"",I263&lt;&gt;"",K263&lt;&gt;""),ABS(H263-I263)*K263,"")</f>
        <v/>
      </c>
      <c r="N263" s="9"/>
      <c r="O263" s="7"/>
      <c r="P263" s="9" t="str">
        <f aca="false">IF(N263&lt;&gt;"",(N263-H263)*K263*IF(E263="Buy",1,-1),"")</f>
        <v/>
      </c>
      <c r="Q263" s="10" t="str">
        <f aca="false">IF(AND(P263&lt;&gt;"",H263&lt;&gt;0,K263&lt;&gt;0),P263/(H263*K263),"")</f>
        <v/>
      </c>
      <c r="R263" s="11" t="str">
        <f aca="false">IF(AND(N263&lt;&gt;"",H263&lt;&gt;I263),IF(E263="Buy",(N263-H263)/(H263-I263),(H263-N263)/(I263-H263)),"")</f>
        <v/>
      </c>
      <c r="S263" s="7" t="str">
        <f aca="false">IF(D263="","",IF(N263&lt;&gt;"","Closed","Open"))</f>
        <v/>
      </c>
      <c r="T263" s="7"/>
    </row>
    <row r="264" customFormat="false" ht="15" hidden="false" customHeight="false" outlineLevel="0" collapsed="false">
      <c r="A264" s="7"/>
      <c r="B264" s="7"/>
      <c r="C264" s="7"/>
      <c r="D264" s="7"/>
      <c r="E264" s="7"/>
      <c r="F264" s="7"/>
      <c r="G264" s="8"/>
      <c r="H264" s="9"/>
      <c r="I264" s="9"/>
      <c r="J264" s="9"/>
      <c r="K264" s="7"/>
      <c r="L264" s="7"/>
      <c r="M264" s="9" t="str">
        <f aca="false">IF(AND(H264&lt;&gt;"",I264&lt;&gt;"",K264&lt;&gt;""),ABS(H264-I264)*K264,"")</f>
        <v/>
      </c>
      <c r="N264" s="9"/>
      <c r="O264" s="7"/>
      <c r="P264" s="9" t="str">
        <f aca="false">IF(N264&lt;&gt;"",(N264-H264)*K264*IF(E264="Buy",1,-1),"")</f>
        <v/>
      </c>
      <c r="Q264" s="10" t="str">
        <f aca="false">IF(AND(P264&lt;&gt;"",H264&lt;&gt;0,K264&lt;&gt;0),P264/(H264*K264),"")</f>
        <v/>
      </c>
      <c r="R264" s="11" t="str">
        <f aca="false">IF(AND(N264&lt;&gt;"",H264&lt;&gt;I264),IF(E264="Buy",(N264-H264)/(H264-I264),(H264-N264)/(I264-H264)),"")</f>
        <v/>
      </c>
      <c r="S264" s="7" t="str">
        <f aca="false">IF(D264="","",IF(N264&lt;&gt;"","Closed","Open"))</f>
        <v/>
      </c>
      <c r="T264" s="7"/>
    </row>
    <row r="265" customFormat="false" ht="15" hidden="false" customHeight="false" outlineLevel="0" collapsed="false">
      <c r="A265" s="7"/>
      <c r="B265" s="7"/>
      <c r="C265" s="7"/>
      <c r="D265" s="7"/>
      <c r="E265" s="7"/>
      <c r="F265" s="7"/>
      <c r="G265" s="8"/>
      <c r="H265" s="9"/>
      <c r="I265" s="9"/>
      <c r="J265" s="9"/>
      <c r="K265" s="7"/>
      <c r="L265" s="7"/>
      <c r="M265" s="9" t="str">
        <f aca="false">IF(AND(H265&lt;&gt;"",I265&lt;&gt;"",K265&lt;&gt;""),ABS(H265-I265)*K265,"")</f>
        <v/>
      </c>
      <c r="N265" s="9"/>
      <c r="O265" s="7"/>
      <c r="P265" s="9" t="str">
        <f aca="false">IF(N265&lt;&gt;"",(N265-H265)*K265*IF(E265="Buy",1,-1),"")</f>
        <v/>
      </c>
      <c r="Q265" s="10" t="str">
        <f aca="false">IF(AND(P265&lt;&gt;"",H265&lt;&gt;0,K265&lt;&gt;0),P265/(H265*K265),"")</f>
        <v/>
      </c>
      <c r="R265" s="11" t="str">
        <f aca="false">IF(AND(N265&lt;&gt;"",H265&lt;&gt;I265),IF(E265="Buy",(N265-H265)/(H265-I265),(H265-N265)/(I265-H265)),"")</f>
        <v/>
      </c>
      <c r="S265" s="7" t="str">
        <f aca="false">IF(D265="","",IF(N265&lt;&gt;"","Closed","Open"))</f>
        <v/>
      </c>
      <c r="T265" s="7"/>
    </row>
    <row r="266" customFormat="false" ht="15" hidden="false" customHeight="false" outlineLevel="0" collapsed="false">
      <c r="A266" s="7"/>
      <c r="B266" s="7"/>
      <c r="C266" s="7"/>
      <c r="D266" s="7"/>
      <c r="E266" s="7"/>
      <c r="F266" s="7"/>
      <c r="G266" s="8"/>
      <c r="H266" s="9"/>
      <c r="I266" s="9"/>
      <c r="J266" s="9"/>
      <c r="K266" s="7"/>
      <c r="L266" s="7"/>
      <c r="M266" s="9" t="str">
        <f aca="false">IF(AND(H266&lt;&gt;"",I266&lt;&gt;"",K266&lt;&gt;""),ABS(H266-I266)*K266,"")</f>
        <v/>
      </c>
      <c r="N266" s="9"/>
      <c r="O266" s="7"/>
      <c r="P266" s="9" t="str">
        <f aca="false">IF(N266&lt;&gt;"",(N266-H266)*K266*IF(E266="Buy",1,-1),"")</f>
        <v/>
      </c>
      <c r="Q266" s="10" t="str">
        <f aca="false">IF(AND(P266&lt;&gt;"",H266&lt;&gt;0,K266&lt;&gt;0),P266/(H266*K266),"")</f>
        <v/>
      </c>
      <c r="R266" s="11" t="str">
        <f aca="false">IF(AND(N266&lt;&gt;"",H266&lt;&gt;I266),IF(E266="Buy",(N266-H266)/(H266-I266),(H266-N266)/(I266-H266)),"")</f>
        <v/>
      </c>
      <c r="S266" s="7" t="str">
        <f aca="false">IF(D266="","",IF(N266&lt;&gt;"","Closed","Open"))</f>
        <v/>
      </c>
      <c r="T266" s="7"/>
    </row>
    <row r="267" customFormat="false" ht="15" hidden="false" customHeight="false" outlineLevel="0" collapsed="false">
      <c r="A267" s="7"/>
      <c r="B267" s="7"/>
      <c r="C267" s="7"/>
      <c r="D267" s="7"/>
      <c r="E267" s="7"/>
      <c r="F267" s="7"/>
      <c r="G267" s="8"/>
      <c r="H267" s="9"/>
      <c r="I267" s="9"/>
      <c r="J267" s="9"/>
      <c r="K267" s="7"/>
      <c r="L267" s="7"/>
      <c r="M267" s="9" t="str">
        <f aca="false">IF(AND(H267&lt;&gt;"",I267&lt;&gt;"",K267&lt;&gt;""),ABS(H267-I267)*K267,"")</f>
        <v/>
      </c>
      <c r="N267" s="9"/>
      <c r="O267" s="7"/>
      <c r="P267" s="9" t="str">
        <f aca="false">IF(N267&lt;&gt;"",(N267-H267)*K267*IF(E267="Buy",1,-1),"")</f>
        <v/>
      </c>
      <c r="Q267" s="10" t="str">
        <f aca="false">IF(AND(P267&lt;&gt;"",H267&lt;&gt;0,K267&lt;&gt;0),P267/(H267*K267),"")</f>
        <v/>
      </c>
      <c r="R267" s="11" t="str">
        <f aca="false">IF(AND(N267&lt;&gt;"",H267&lt;&gt;I267),IF(E267="Buy",(N267-H267)/(H267-I267),(H267-N267)/(I267-H267)),"")</f>
        <v/>
      </c>
      <c r="S267" s="7" t="str">
        <f aca="false">IF(D267="","",IF(N267&lt;&gt;"","Closed","Open"))</f>
        <v/>
      </c>
      <c r="T267" s="7"/>
    </row>
    <row r="268" customFormat="false" ht="15" hidden="false" customHeight="false" outlineLevel="0" collapsed="false">
      <c r="A268" s="7"/>
      <c r="B268" s="7"/>
      <c r="C268" s="7"/>
      <c r="D268" s="7"/>
      <c r="E268" s="7"/>
      <c r="F268" s="7"/>
      <c r="G268" s="8"/>
      <c r="H268" s="9"/>
      <c r="I268" s="9"/>
      <c r="J268" s="9"/>
      <c r="K268" s="7"/>
      <c r="L268" s="7"/>
      <c r="M268" s="9" t="str">
        <f aca="false">IF(AND(H268&lt;&gt;"",I268&lt;&gt;"",K268&lt;&gt;""),ABS(H268-I268)*K268,"")</f>
        <v/>
      </c>
      <c r="N268" s="9"/>
      <c r="O268" s="7"/>
      <c r="P268" s="9" t="str">
        <f aca="false">IF(N268&lt;&gt;"",(N268-H268)*K268*IF(E268="Buy",1,-1),"")</f>
        <v/>
      </c>
      <c r="Q268" s="10" t="str">
        <f aca="false">IF(AND(P268&lt;&gt;"",H268&lt;&gt;0,K268&lt;&gt;0),P268/(H268*K268),"")</f>
        <v/>
      </c>
      <c r="R268" s="11" t="str">
        <f aca="false">IF(AND(N268&lt;&gt;"",H268&lt;&gt;I268),IF(E268="Buy",(N268-H268)/(H268-I268),(H268-N268)/(I268-H268)),"")</f>
        <v/>
      </c>
      <c r="S268" s="7" t="str">
        <f aca="false">IF(D268="","",IF(N268&lt;&gt;"","Closed","Open"))</f>
        <v/>
      </c>
      <c r="T268" s="7"/>
    </row>
    <row r="269" customFormat="false" ht="15" hidden="false" customHeight="false" outlineLevel="0" collapsed="false">
      <c r="A269" s="7"/>
      <c r="B269" s="7"/>
      <c r="C269" s="7"/>
      <c r="D269" s="7"/>
      <c r="E269" s="7"/>
      <c r="F269" s="7"/>
      <c r="G269" s="8"/>
      <c r="H269" s="9"/>
      <c r="I269" s="9"/>
      <c r="J269" s="9"/>
      <c r="K269" s="7"/>
      <c r="L269" s="7"/>
      <c r="M269" s="9" t="str">
        <f aca="false">IF(AND(H269&lt;&gt;"",I269&lt;&gt;"",K269&lt;&gt;""),ABS(H269-I269)*K269,"")</f>
        <v/>
      </c>
      <c r="N269" s="9"/>
      <c r="O269" s="7"/>
      <c r="P269" s="9" t="str">
        <f aca="false">IF(N269&lt;&gt;"",(N269-H269)*K269*IF(E269="Buy",1,-1),"")</f>
        <v/>
      </c>
      <c r="Q269" s="10" t="str">
        <f aca="false">IF(AND(P269&lt;&gt;"",H269&lt;&gt;0,K269&lt;&gt;0),P269/(H269*K269),"")</f>
        <v/>
      </c>
      <c r="R269" s="11" t="str">
        <f aca="false">IF(AND(N269&lt;&gt;"",H269&lt;&gt;I269),IF(E269="Buy",(N269-H269)/(H269-I269),(H269-N269)/(I269-H269)),"")</f>
        <v/>
      </c>
      <c r="S269" s="7" t="str">
        <f aca="false">IF(D269="","",IF(N269&lt;&gt;"","Closed","Open"))</f>
        <v/>
      </c>
      <c r="T269" s="7"/>
    </row>
    <row r="270" customFormat="false" ht="15" hidden="false" customHeight="false" outlineLevel="0" collapsed="false">
      <c r="A270" s="7"/>
      <c r="B270" s="7"/>
      <c r="C270" s="7"/>
      <c r="D270" s="7"/>
      <c r="E270" s="7"/>
      <c r="F270" s="7"/>
      <c r="G270" s="8"/>
      <c r="H270" s="9"/>
      <c r="I270" s="9"/>
      <c r="J270" s="9"/>
      <c r="K270" s="7"/>
      <c r="L270" s="7"/>
      <c r="M270" s="9" t="str">
        <f aca="false">IF(AND(H270&lt;&gt;"",I270&lt;&gt;"",K270&lt;&gt;""),ABS(H270-I270)*K270,"")</f>
        <v/>
      </c>
      <c r="N270" s="9"/>
      <c r="O270" s="7"/>
      <c r="P270" s="9" t="str">
        <f aca="false">IF(N270&lt;&gt;"",(N270-H270)*K270*IF(E270="Buy",1,-1),"")</f>
        <v/>
      </c>
      <c r="Q270" s="10" t="str">
        <f aca="false">IF(AND(P270&lt;&gt;"",H270&lt;&gt;0,K270&lt;&gt;0),P270/(H270*K270),"")</f>
        <v/>
      </c>
      <c r="R270" s="11" t="str">
        <f aca="false">IF(AND(N270&lt;&gt;"",H270&lt;&gt;I270),IF(E270="Buy",(N270-H270)/(H270-I270),(H270-N270)/(I270-H270)),"")</f>
        <v/>
      </c>
      <c r="S270" s="7" t="str">
        <f aca="false">IF(D270="","",IF(N270&lt;&gt;"","Closed","Open"))</f>
        <v/>
      </c>
      <c r="T270" s="7"/>
    </row>
    <row r="271" customFormat="false" ht="15" hidden="false" customHeight="false" outlineLevel="0" collapsed="false">
      <c r="A271" s="7"/>
      <c r="B271" s="7"/>
      <c r="C271" s="7"/>
      <c r="D271" s="7"/>
      <c r="E271" s="7"/>
      <c r="F271" s="7"/>
      <c r="G271" s="8"/>
      <c r="H271" s="9"/>
      <c r="I271" s="9"/>
      <c r="J271" s="9"/>
      <c r="K271" s="7"/>
      <c r="L271" s="7"/>
      <c r="M271" s="9" t="str">
        <f aca="false">IF(AND(H271&lt;&gt;"",I271&lt;&gt;"",K271&lt;&gt;""),ABS(H271-I271)*K271,"")</f>
        <v/>
      </c>
      <c r="N271" s="9"/>
      <c r="O271" s="7"/>
      <c r="P271" s="9" t="str">
        <f aca="false">IF(N271&lt;&gt;"",(N271-H271)*K271*IF(E271="Buy",1,-1),"")</f>
        <v/>
      </c>
      <c r="Q271" s="10" t="str">
        <f aca="false">IF(AND(P271&lt;&gt;"",H271&lt;&gt;0,K271&lt;&gt;0),P271/(H271*K271),"")</f>
        <v/>
      </c>
      <c r="R271" s="11" t="str">
        <f aca="false">IF(AND(N271&lt;&gt;"",H271&lt;&gt;I271),IF(E271="Buy",(N271-H271)/(H271-I271),(H271-N271)/(I271-H271)),"")</f>
        <v/>
      </c>
      <c r="S271" s="7" t="str">
        <f aca="false">IF(D271="","",IF(N271&lt;&gt;"","Closed","Open"))</f>
        <v/>
      </c>
      <c r="T271" s="7"/>
    </row>
    <row r="272" customFormat="false" ht="15" hidden="false" customHeight="false" outlineLevel="0" collapsed="false">
      <c r="A272" s="7"/>
      <c r="B272" s="7"/>
      <c r="C272" s="7"/>
      <c r="D272" s="7"/>
      <c r="E272" s="7"/>
      <c r="F272" s="7"/>
      <c r="G272" s="8"/>
      <c r="H272" s="9"/>
      <c r="I272" s="9"/>
      <c r="J272" s="9"/>
      <c r="K272" s="7"/>
      <c r="L272" s="7"/>
      <c r="M272" s="9" t="str">
        <f aca="false">IF(AND(H272&lt;&gt;"",I272&lt;&gt;"",K272&lt;&gt;""),ABS(H272-I272)*K272,"")</f>
        <v/>
      </c>
      <c r="N272" s="9"/>
      <c r="O272" s="7"/>
      <c r="P272" s="9" t="str">
        <f aca="false">IF(N272&lt;&gt;"",(N272-H272)*K272*IF(E272="Buy",1,-1),"")</f>
        <v/>
      </c>
      <c r="Q272" s="10" t="str">
        <f aca="false">IF(AND(P272&lt;&gt;"",H272&lt;&gt;0,K272&lt;&gt;0),P272/(H272*K272),"")</f>
        <v/>
      </c>
      <c r="R272" s="11" t="str">
        <f aca="false">IF(AND(N272&lt;&gt;"",H272&lt;&gt;I272),IF(E272="Buy",(N272-H272)/(H272-I272),(H272-N272)/(I272-H272)),"")</f>
        <v/>
      </c>
      <c r="S272" s="7" t="str">
        <f aca="false">IF(D272="","",IF(N272&lt;&gt;"","Closed","Open"))</f>
        <v/>
      </c>
      <c r="T272" s="7"/>
    </row>
    <row r="273" customFormat="false" ht="15" hidden="false" customHeight="false" outlineLevel="0" collapsed="false">
      <c r="A273" s="7"/>
      <c r="B273" s="7"/>
      <c r="C273" s="7"/>
      <c r="D273" s="7"/>
      <c r="E273" s="7"/>
      <c r="F273" s="7"/>
      <c r="G273" s="8"/>
      <c r="H273" s="9"/>
      <c r="I273" s="9"/>
      <c r="J273" s="9"/>
      <c r="K273" s="7"/>
      <c r="L273" s="7"/>
      <c r="M273" s="9" t="str">
        <f aca="false">IF(AND(H273&lt;&gt;"",I273&lt;&gt;"",K273&lt;&gt;""),ABS(H273-I273)*K273,"")</f>
        <v/>
      </c>
      <c r="N273" s="9"/>
      <c r="O273" s="7"/>
      <c r="P273" s="9" t="str">
        <f aca="false">IF(N273&lt;&gt;"",(N273-H273)*K273*IF(E273="Buy",1,-1),"")</f>
        <v/>
      </c>
      <c r="Q273" s="10" t="str">
        <f aca="false">IF(AND(P273&lt;&gt;"",H273&lt;&gt;0,K273&lt;&gt;0),P273/(H273*K273),"")</f>
        <v/>
      </c>
      <c r="R273" s="11" t="str">
        <f aca="false">IF(AND(N273&lt;&gt;"",H273&lt;&gt;I273),IF(E273="Buy",(N273-H273)/(H273-I273),(H273-N273)/(I273-H273)),"")</f>
        <v/>
      </c>
      <c r="S273" s="7" t="str">
        <f aca="false">IF(D273="","",IF(N273&lt;&gt;"","Closed","Open"))</f>
        <v/>
      </c>
      <c r="T273" s="7"/>
    </row>
    <row r="274" customFormat="false" ht="15" hidden="false" customHeight="false" outlineLevel="0" collapsed="false">
      <c r="A274" s="7"/>
      <c r="B274" s="7"/>
      <c r="C274" s="7"/>
      <c r="D274" s="7"/>
      <c r="E274" s="7"/>
      <c r="F274" s="7"/>
      <c r="G274" s="8"/>
      <c r="H274" s="9"/>
      <c r="I274" s="9"/>
      <c r="J274" s="9"/>
      <c r="K274" s="7"/>
      <c r="L274" s="7"/>
      <c r="M274" s="9" t="str">
        <f aca="false">IF(AND(H274&lt;&gt;"",I274&lt;&gt;"",K274&lt;&gt;""),ABS(H274-I274)*K274,"")</f>
        <v/>
      </c>
      <c r="N274" s="9"/>
      <c r="O274" s="7"/>
      <c r="P274" s="9" t="str">
        <f aca="false">IF(N274&lt;&gt;"",(N274-H274)*K274*IF(E274="Buy",1,-1),"")</f>
        <v/>
      </c>
      <c r="Q274" s="10" t="str">
        <f aca="false">IF(AND(P274&lt;&gt;"",H274&lt;&gt;0,K274&lt;&gt;0),P274/(H274*K274),"")</f>
        <v/>
      </c>
      <c r="R274" s="11" t="str">
        <f aca="false">IF(AND(N274&lt;&gt;"",H274&lt;&gt;I274),IF(E274="Buy",(N274-H274)/(H274-I274),(H274-N274)/(I274-H274)),"")</f>
        <v/>
      </c>
      <c r="S274" s="7" t="str">
        <f aca="false">IF(D274="","",IF(N274&lt;&gt;"","Closed","Open"))</f>
        <v/>
      </c>
      <c r="T274" s="7"/>
    </row>
    <row r="275" customFormat="false" ht="15" hidden="false" customHeight="false" outlineLevel="0" collapsed="false">
      <c r="A275" s="7"/>
      <c r="B275" s="7"/>
      <c r="C275" s="7"/>
      <c r="D275" s="7"/>
      <c r="E275" s="7"/>
      <c r="F275" s="7"/>
      <c r="G275" s="8"/>
      <c r="H275" s="9"/>
      <c r="I275" s="9"/>
      <c r="J275" s="9"/>
      <c r="K275" s="7"/>
      <c r="L275" s="7"/>
      <c r="M275" s="9" t="str">
        <f aca="false">IF(AND(H275&lt;&gt;"",I275&lt;&gt;"",K275&lt;&gt;""),ABS(H275-I275)*K275,"")</f>
        <v/>
      </c>
      <c r="N275" s="9"/>
      <c r="O275" s="7"/>
      <c r="P275" s="9" t="str">
        <f aca="false">IF(N275&lt;&gt;"",(N275-H275)*K275*IF(E275="Buy",1,-1),"")</f>
        <v/>
      </c>
      <c r="Q275" s="10" t="str">
        <f aca="false">IF(AND(P275&lt;&gt;"",H275&lt;&gt;0,K275&lt;&gt;0),P275/(H275*K275),"")</f>
        <v/>
      </c>
      <c r="R275" s="11" t="str">
        <f aca="false">IF(AND(N275&lt;&gt;"",H275&lt;&gt;I275),IF(E275="Buy",(N275-H275)/(H275-I275),(H275-N275)/(I275-H275)),"")</f>
        <v/>
      </c>
      <c r="S275" s="7" t="str">
        <f aca="false">IF(D275="","",IF(N275&lt;&gt;"","Closed","Open"))</f>
        <v/>
      </c>
      <c r="T275" s="7"/>
    </row>
    <row r="276" customFormat="false" ht="15" hidden="false" customHeight="false" outlineLevel="0" collapsed="false">
      <c r="A276" s="7"/>
      <c r="B276" s="7"/>
      <c r="C276" s="7"/>
      <c r="D276" s="7"/>
      <c r="E276" s="7"/>
      <c r="F276" s="7"/>
      <c r="G276" s="8"/>
      <c r="H276" s="9"/>
      <c r="I276" s="9"/>
      <c r="J276" s="9"/>
      <c r="K276" s="7"/>
      <c r="L276" s="7"/>
      <c r="M276" s="9" t="str">
        <f aca="false">IF(AND(H276&lt;&gt;"",I276&lt;&gt;"",K276&lt;&gt;""),ABS(H276-I276)*K276,"")</f>
        <v/>
      </c>
      <c r="N276" s="9"/>
      <c r="O276" s="7"/>
      <c r="P276" s="9" t="str">
        <f aca="false">IF(N276&lt;&gt;"",(N276-H276)*K276*IF(E276="Buy",1,-1),"")</f>
        <v/>
      </c>
      <c r="Q276" s="10" t="str">
        <f aca="false">IF(AND(P276&lt;&gt;"",H276&lt;&gt;0,K276&lt;&gt;0),P276/(H276*K276),"")</f>
        <v/>
      </c>
      <c r="R276" s="11" t="str">
        <f aca="false">IF(AND(N276&lt;&gt;"",H276&lt;&gt;I276),IF(E276="Buy",(N276-H276)/(H276-I276),(H276-N276)/(I276-H276)),"")</f>
        <v/>
      </c>
      <c r="S276" s="7" t="str">
        <f aca="false">IF(D276="","",IF(N276&lt;&gt;"","Closed","Open"))</f>
        <v/>
      </c>
      <c r="T276" s="7"/>
    </row>
    <row r="277" customFormat="false" ht="15" hidden="false" customHeight="false" outlineLevel="0" collapsed="false">
      <c r="A277" s="7"/>
      <c r="B277" s="7"/>
      <c r="C277" s="7"/>
      <c r="D277" s="7"/>
      <c r="E277" s="7"/>
      <c r="F277" s="7"/>
      <c r="G277" s="8"/>
      <c r="H277" s="9"/>
      <c r="I277" s="9"/>
      <c r="J277" s="9"/>
      <c r="K277" s="7"/>
      <c r="L277" s="7"/>
      <c r="M277" s="9" t="str">
        <f aca="false">IF(AND(H277&lt;&gt;"",I277&lt;&gt;"",K277&lt;&gt;""),ABS(H277-I277)*K277,"")</f>
        <v/>
      </c>
      <c r="N277" s="9"/>
      <c r="O277" s="7"/>
      <c r="P277" s="9" t="str">
        <f aca="false">IF(N277&lt;&gt;"",(N277-H277)*K277*IF(E277="Buy",1,-1),"")</f>
        <v/>
      </c>
      <c r="Q277" s="10" t="str">
        <f aca="false">IF(AND(P277&lt;&gt;"",H277&lt;&gt;0,K277&lt;&gt;0),P277/(H277*K277),"")</f>
        <v/>
      </c>
      <c r="R277" s="11" t="str">
        <f aca="false">IF(AND(N277&lt;&gt;"",H277&lt;&gt;I277),IF(E277="Buy",(N277-H277)/(H277-I277),(H277-N277)/(I277-H277)),"")</f>
        <v/>
      </c>
      <c r="S277" s="7" t="str">
        <f aca="false">IF(D277="","",IF(N277&lt;&gt;"","Closed","Open"))</f>
        <v/>
      </c>
      <c r="T277" s="7"/>
    </row>
    <row r="278" customFormat="false" ht="15" hidden="false" customHeight="false" outlineLevel="0" collapsed="false">
      <c r="A278" s="7"/>
      <c r="B278" s="7"/>
      <c r="C278" s="7"/>
      <c r="D278" s="7"/>
      <c r="E278" s="7"/>
      <c r="F278" s="7"/>
      <c r="G278" s="8"/>
      <c r="H278" s="9"/>
      <c r="I278" s="9"/>
      <c r="J278" s="9"/>
      <c r="K278" s="7"/>
      <c r="L278" s="7"/>
      <c r="M278" s="9" t="str">
        <f aca="false">IF(AND(H278&lt;&gt;"",I278&lt;&gt;"",K278&lt;&gt;""),ABS(H278-I278)*K278,"")</f>
        <v/>
      </c>
      <c r="N278" s="9"/>
      <c r="O278" s="7"/>
      <c r="P278" s="9" t="str">
        <f aca="false">IF(N278&lt;&gt;"",(N278-H278)*K278*IF(E278="Buy",1,-1),"")</f>
        <v/>
      </c>
      <c r="Q278" s="10" t="str">
        <f aca="false">IF(AND(P278&lt;&gt;"",H278&lt;&gt;0,K278&lt;&gt;0),P278/(H278*K278),"")</f>
        <v/>
      </c>
      <c r="R278" s="11" t="str">
        <f aca="false">IF(AND(N278&lt;&gt;"",H278&lt;&gt;I278),IF(E278="Buy",(N278-H278)/(H278-I278),(H278-N278)/(I278-H278)),"")</f>
        <v/>
      </c>
      <c r="S278" s="7" t="str">
        <f aca="false">IF(D278="","",IF(N278&lt;&gt;"","Closed","Open"))</f>
        <v/>
      </c>
      <c r="T278" s="7"/>
    </row>
    <row r="279" customFormat="false" ht="15" hidden="false" customHeight="false" outlineLevel="0" collapsed="false">
      <c r="A279" s="7"/>
      <c r="B279" s="7"/>
      <c r="C279" s="7"/>
      <c r="D279" s="7"/>
      <c r="E279" s="7"/>
      <c r="F279" s="7"/>
      <c r="G279" s="8"/>
      <c r="H279" s="9"/>
      <c r="I279" s="9"/>
      <c r="J279" s="9"/>
      <c r="K279" s="7"/>
      <c r="L279" s="7"/>
      <c r="M279" s="9" t="str">
        <f aca="false">IF(AND(H279&lt;&gt;"",I279&lt;&gt;"",K279&lt;&gt;""),ABS(H279-I279)*K279,"")</f>
        <v/>
      </c>
      <c r="N279" s="9"/>
      <c r="O279" s="7"/>
      <c r="P279" s="9" t="str">
        <f aca="false">IF(N279&lt;&gt;"",(N279-H279)*K279*IF(E279="Buy",1,-1),"")</f>
        <v/>
      </c>
      <c r="Q279" s="10" t="str">
        <f aca="false">IF(AND(P279&lt;&gt;"",H279&lt;&gt;0,K279&lt;&gt;0),P279/(H279*K279),"")</f>
        <v/>
      </c>
      <c r="R279" s="11" t="str">
        <f aca="false">IF(AND(N279&lt;&gt;"",H279&lt;&gt;I279),IF(E279="Buy",(N279-H279)/(H279-I279),(H279-N279)/(I279-H279)),"")</f>
        <v/>
      </c>
      <c r="S279" s="7" t="str">
        <f aca="false">IF(D279="","",IF(N279&lt;&gt;"","Closed","Open"))</f>
        <v/>
      </c>
      <c r="T279" s="7"/>
    </row>
    <row r="280" customFormat="false" ht="15" hidden="false" customHeight="false" outlineLevel="0" collapsed="false">
      <c r="A280" s="7"/>
      <c r="B280" s="7"/>
      <c r="C280" s="7"/>
      <c r="D280" s="7"/>
      <c r="E280" s="7"/>
      <c r="F280" s="7"/>
      <c r="G280" s="8"/>
      <c r="H280" s="9"/>
      <c r="I280" s="9"/>
      <c r="J280" s="9"/>
      <c r="K280" s="7"/>
      <c r="L280" s="7"/>
      <c r="M280" s="9" t="str">
        <f aca="false">IF(AND(H280&lt;&gt;"",I280&lt;&gt;"",K280&lt;&gt;""),ABS(H280-I280)*K280,"")</f>
        <v/>
      </c>
      <c r="N280" s="9"/>
      <c r="O280" s="7"/>
      <c r="P280" s="9" t="str">
        <f aca="false">IF(N280&lt;&gt;"",(N280-H280)*K280*IF(E280="Buy",1,-1),"")</f>
        <v/>
      </c>
      <c r="Q280" s="10" t="str">
        <f aca="false">IF(AND(P280&lt;&gt;"",H280&lt;&gt;0,K280&lt;&gt;0),P280/(H280*K280),"")</f>
        <v/>
      </c>
      <c r="R280" s="11" t="str">
        <f aca="false">IF(AND(N280&lt;&gt;"",H280&lt;&gt;I280),IF(E280="Buy",(N280-H280)/(H280-I280),(H280-N280)/(I280-H280)),"")</f>
        <v/>
      </c>
      <c r="S280" s="7" t="str">
        <f aca="false">IF(D280="","",IF(N280&lt;&gt;"","Closed","Open"))</f>
        <v/>
      </c>
      <c r="T280" s="7"/>
    </row>
    <row r="281" customFormat="false" ht="15" hidden="false" customHeight="false" outlineLevel="0" collapsed="false">
      <c r="A281" s="7"/>
      <c r="B281" s="7"/>
      <c r="C281" s="7"/>
      <c r="D281" s="7"/>
      <c r="E281" s="7"/>
      <c r="F281" s="7"/>
      <c r="G281" s="8"/>
      <c r="H281" s="9"/>
      <c r="I281" s="9"/>
      <c r="J281" s="9"/>
      <c r="K281" s="7"/>
      <c r="L281" s="7"/>
      <c r="M281" s="9" t="str">
        <f aca="false">IF(AND(H281&lt;&gt;"",I281&lt;&gt;"",K281&lt;&gt;""),ABS(H281-I281)*K281,"")</f>
        <v/>
      </c>
      <c r="N281" s="9"/>
      <c r="O281" s="7"/>
      <c r="P281" s="9" t="str">
        <f aca="false">IF(N281&lt;&gt;"",(N281-H281)*K281*IF(E281="Buy",1,-1),"")</f>
        <v/>
      </c>
      <c r="Q281" s="10" t="str">
        <f aca="false">IF(AND(P281&lt;&gt;"",H281&lt;&gt;0,K281&lt;&gt;0),P281/(H281*K281),"")</f>
        <v/>
      </c>
      <c r="R281" s="11" t="str">
        <f aca="false">IF(AND(N281&lt;&gt;"",H281&lt;&gt;I281),IF(E281="Buy",(N281-H281)/(H281-I281),(H281-N281)/(I281-H281)),"")</f>
        <v/>
      </c>
      <c r="S281" s="7" t="str">
        <f aca="false">IF(D281="","",IF(N281&lt;&gt;"","Closed","Open"))</f>
        <v/>
      </c>
      <c r="T281" s="7"/>
    </row>
    <row r="282" customFormat="false" ht="15" hidden="false" customHeight="false" outlineLevel="0" collapsed="false">
      <c r="A282" s="7"/>
      <c r="B282" s="7"/>
      <c r="C282" s="7"/>
      <c r="D282" s="7"/>
      <c r="E282" s="7"/>
      <c r="F282" s="7"/>
      <c r="G282" s="8"/>
      <c r="H282" s="9"/>
      <c r="I282" s="9"/>
      <c r="J282" s="9"/>
      <c r="K282" s="7"/>
      <c r="L282" s="7"/>
      <c r="M282" s="9" t="str">
        <f aca="false">IF(AND(H282&lt;&gt;"",I282&lt;&gt;"",K282&lt;&gt;""),ABS(H282-I282)*K282,"")</f>
        <v/>
      </c>
      <c r="N282" s="9"/>
      <c r="O282" s="7"/>
      <c r="P282" s="9" t="str">
        <f aca="false">IF(N282&lt;&gt;"",(N282-H282)*K282*IF(E282="Buy",1,-1),"")</f>
        <v/>
      </c>
      <c r="Q282" s="10" t="str">
        <f aca="false">IF(AND(P282&lt;&gt;"",H282&lt;&gt;0,K282&lt;&gt;0),P282/(H282*K282),"")</f>
        <v/>
      </c>
      <c r="R282" s="11" t="str">
        <f aca="false">IF(AND(N282&lt;&gt;"",H282&lt;&gt;I282),IF(E282="Buy",(N282-H282)/(H282-I282),(H282-N282)/(I282-H282)),"")</f>
        <v/>
      </c>
      <c r="S282" s="7" t="str">
        <f aca="false">IF(D282="","",IF(N282&lt;&gt;"","Closed","Open"))</f>
        <v/>
      </c>
      <c r="T282" s="7"/>
    </row>
    <row r="283" customFormat="false" ht="15" hidden="false" customHeight="false" outlineLevel="0" collapsed="false">
      <c r="A283" s="7"/>
      <c r="B283" s="7"/>
      <c r="C283" s="7"/>
      <c r="D283" s="7"/>
      <c r="E283" s="7"/>
      <c r="F283" s="7"/>
      <c r="G283" s="8"/>
      <c r="H283" s="9"/>
      <c r="I283" s="9"/>
      <c r="J283" s="9"/>
      <c r="K283" s="7"/>
      <c r="L283" s="7"/>
      <c r="M283" s="9" t="str">
        <f aca="false">IF(AND(H283&lt;&gt;"",I283&lt;&gt;"",K283&lt;&gt;""),ABS(H283-I283)*K283,"")</f>
        <v/>
      </c>
      <c r="N283" s="9"/>
      <c r="O283" s="7"/>
      <c r="P283" s="9" t="str">
        <f aca="false">IF(N283&lt;&gt;"",(N283-H283)*K283*IF(E283="Buy",1,-1),"")</f>
        <v/>
      </c>
      <c r="Q283" s="10" t="str">
        <f aca="false">IF(AND(P283&lt;&gt;"",H283&lt;&gt;0,K283&lt;&gt;0),P283/(H283*K283),"")</f>
        <v/>
      </c>
      <c r="R283" s="11" t="str">
        <f aca="false">IF(AND(N283&lt;&gt;"",H283&lt;&gt;I283),IF(E283="Buy",(N283-H283)/(H283-I283),(H283-N283)/(I283-H283)),"")</f>
        <v/>
      </c>
      <c r="S283" s="7" t="str">
        <f aca="false">IF(D283="","",IF(N283&lt;&gt;"","Closed","Open"))</f>
        <v/>
      </c>
      <c r="T283" s="7"/>
    </row>
    <row r="284" customFormat="false" ht="15" hidden="false" customHeight="false" outlineLevel="0" collapsed="false">
      <c r="A284" s="7"/>
      <c r="B284" s="7"/>
      <c r="C284" s="7"/>
      <c r="D284" s="7"/>
      <c r="E284" s="7"/>
      <c r="F284" s="7"/>
      <c r="G284" s="8"/>
      <c r="H284" s="9"/>
      <c r="I284" s="9"/>
      <c r="J284" s="9"/>
      <c r="K284" s="7"/>
      <c r="L284" s="7"/>
      <c r="M284" s="9" t="str">
        <f aca="false">IF(AND(H284&lt;&gt;"",I284&lt;&gt;"",K284&lt;&gt;""),ABS(H284-I284)*K284,"")</f>
        <v/>
      </c>
      <c r="N284" s="9"/>
      <c r="O284" s="7"/>
      <c r="P284" s="9" t="str">
        <f aca="false">IF(N284&lt;&gt;"",(N284-H284)*K284*IF(E284="Buy",1,-1),"")</f>
        <v/>
      </c>
      <c r="Q284" s="10" t="str">
        <f aca="false">IF(AND(P284&lt;&gt;"",H284&lt;&gt;0,K284&lt;&gt;0),P284/(H284*K284),"")</f>
        <v/>
      </c>
      <c r="R284" s="11" t="str">
        <f aca="false">IF(AND(N284&lt;&gt;"",H284&lt;&gt;I284),IF(E284="Buy",(N284-H284)/(H284-I284),(H284-N284)/(I284-H284)),"")</f>
        <v/>
      </c>
      <c r="S284" s="7" t="str">
        <f aca="false">IF(D284="","",IF(N284&lt;&gt;"","Closed","Open"))</f>
        <v/>
      </c>
      <c r="T284" s="7"/>
    </row>
    <row r="285" customFormat="false" ht="15" hidden="false" customHeight="false" outlineLevel="0" collapsed="false">
      <c r="A285" s="7"/>
      <c r="B285" s="7"/>
      <c r="C285" s="7"/>
      <c r="D285" s="7"/>
      <c r="E285" s="7"/>
      <c r="F285" s="7"/>
      <c r="G285" s="8"/>
      <c r="H285" s="9"/>
      <c r="I285" s="9"/>
      <c r="J285" s="9"/>
      <c r="K285" s="7"/>
      <c r="L285" s="7"/>
      <c r="M285" s="9" t="str">
        <f aca="false">IF(AND(H285&lt;&gt;"",I285&lt;&gt;"",K285&lt;&gt;""),ABS(H285-I285)*K285,"")</f>
        <v/>
      </c>
      <c r="N285" s="9"/>
      <c r="O285" s="7"/>
      <c r="P285" s="9" t="str">
        <f aca="false">IF(N285&lt;&gt;"",(N285-H285)*K285*IF(E285="Buy",1,-1),"")</f>
        <v/>
      </c>
      <c r="Q285" s="10" t="str">
        <f aca="false">IF(AND(P285&lt;&gt;"",H285&lt;&gt;0,K285&lt;&gt;0),P285/(H285*K285),"")</f>
        <v/>
      </c>
      <c r="R285" s="11" t="str">
        <f aca="false">IF(AND(N285&lt;&gt;"",H285&lt;&gt;I285),IF(E285="Buy",(N285-H285)/(H285-I285),(H285-N285)/(I285-H285)),"")</f>
        <v/>
      </c>
      <c r="S285" s="7" t="str">
        <f aca="false">IF(D285="","",IF(N285&lt;&gt;"","Closed","Open"))</f>
        <v/>
      </c>
      <c r="T285" s="7"/>
    </row>
    <row r="286" customFormat="false" ht="15" hidden="false" customHeight="false" outlineLevel="0" collapsed="false">
      <c r="A286" s="7"/>
      <c r="B286" s="7"/>
      <c r="C286" s="7"/>
      <c r="D286" s="7"/>
      <c r="E286" s="7"/>
      <c r="F286" s="7"/>
      <c r="G286" s="8"/>
      <c r="H286" s="9"/>
      <c r="I286" s="9"/>
      <c r="J286" s="9"/>
      <c r="K286" s="7"/>
      <c r="L286" s="7"/>
      <c r="M286" s="9" t="str">
        <f aca="false">IF(AND(H286&lt;&gt;"",I286&lt;&gt;"",K286&lt;&gt;""),ABS(H286-I286)*K286,"")</f>
        <v/>
      </c>
      <c r="N286" s="9"/>
      <c r="O286" s="7"/>
      <c r="P286" s="9" t="str">
        <f aca="false">IF(N286&lt;&gt;"",(N286-H286)*K286*IF(E286="Buy",1,-1),"")</f>
        <v/>
      </c>
      <c r="Q286" s="10" t="str">
        <f aca="false">IF(AND(P286&lt;&gt;"",H286&lt;&gt;0,K286&lt;&gt;0),P286/(H286*K286),"")</f>
        <v/>
      </c>
      <c r="R286" s="11" t="str">
        <f aca="false">IF(AND(N286&lt;&gt;"",H286&lt;&gt;I286),IF(E286="Buy",(N286-H286)/(H286-I286),(H286-N286)/(I286-H286)),"")</f>
        <v/>
      </c>
      <c r="S286" s="7" t="str">
        <f aca="false">IF(D286="","",IF(N286&lt;&gt;"","Closed","Open"))</f>
        <v/>
      </c>
      <c r="T286" s="7"/>
    </row>
    <row r="287" customFormat="false" ht="15" hidden="false" customHeight="false" outlineLevel="0" collapsed="false">
      <c r="A287" s="7"/>
      <c r="B287" s="7"/>
      <c r="C287" s="7"/>
      <c r="D287" s="7"/>
      <c r="E287" s="7"/>
      <c r="F287" s="7"/>
      <c r="G287" s="8"/>
      <c r="H287" s="9"/>
      <c r="I287" s="9"/>
      <c r="J287" s="9"/>
      <c r="K287" s="7"/>
      <c r="L287" s="7"/>
      <c r="M287" s="9" t="str">
        <f aca="false">IF(AND(H287&lt;&gt;"",I287&lt;&gt;"",K287&lt;&gt;""),ABS(H287-I287)*K287,"")</f>
        <v/>
      </c>
      <c r="N287" s="9"/>
      <c r="O287" s="7"/>
      <c r="P287" s="9" t="str">
        <f aca="false">IF(N287&lt;&gt;"",(N287-H287)*K287*IF(E287="Buy",1,-1),"")</f>
        <v/>
      </c>
      <c r="Q287" s="10" t="str">
        <f aca="false">IF(AND(P287&lt;&gt;"",H287&lt;&gt;0,K287&lt;&gt;0),P287/(H287*K287),"")</f>
        <v/>
      </c>
      <c r="R287" s="11" t="str">
        <f aca="false">IF(AND(N287&lt;&gt;"",H287&lt;&gt;I287),IF(E287="Buy",(N287-H287)/(H287-I287),(H287-N287)/(I287-H287)),"")</f>
        <v/>
      </c>
      <c r="S287" s="7" t="str">
        <f aca="false">IF(D287="","",IF(N287&lt;&gt;"","Closed","Open"))</f>
        <v/>
      </c>
      <c r="T287" s="7"/>
    </row>
    <row r="288" customFormat="false" ht="15" hidden="false" customHeight="false" outlineLevel="0" collapsed="false">
      <c r="A288" s="7"/>
      <c r="B288" s="7"/>
      <c r="C288" s="7"/>
      <c r="D288" s="7"/>
      <c r="E288" s="7"/>
      <c r="F288" s="7"/>
      <c r="G288" s="8"/>
      <c r="H288" s="9"/>
      <c r="I288" s="9"/>
      <c r="J288" s="9"/>
      <c r="K288" s="7"/>
      <c r="L288" s="7"/>
      <c r="M288" s="9" t="str">
        <f aca="false">IF(AND(H288&lt;&gt;"",I288&lt;&gt;"",K288&lt;&gt;""),ABS(H288-I288)*K288,"")</f>
        <v/>
      </c>
      <c r="N288" s="9"/>
      <c r="O288" s="7"/>
      <c r="P288" s="9" t="str">
        <f aca="false">IF(N288&lt;&gt;"",(N288-H288)*K288*IF(E288="Buy",1,-1),"")</f>
        <v/>
      </c>
      <c r="Q288" s="10" t="str">
        <f aca="false">IF(AND(P288&lt;&gt;"",H288&lt;&gt;0,K288&lt;&gt;0),P288/(H288*K288),"")</f>
        <v/>
      </c>
      <c r="R288" s="11" t="str">
        <f aca="false">IF(AND(N288&lt;&gt;"",H288&lt;&gt;I288),IF(E288="Buy",(N288-H288)/(H288-I288),(H288-N288)/(I288-H288)),"")</f>
        <v/>
      </c>
      <c r="S288" s="7" t="str">
        <f aca="false">IF(D288="","",IF(N288&lt;&gt;"","Closed","Open"))</f>
        <v/>
      </c>
      <c r="T288" s="7"/>
    </row>
    <row r="289" customFormat="false" ht="15" hidden="false" customHeight="false" outlineLevel="0" collapsed="false">
      <c r="A289" s="7"/>
      <c r="B289" s="7"/>
      <c r="C289" s="7"/>
      <c r="D289" s="7"/>
      <c r="E289" s="7"/>
      <c r="F289" s="7"/>
      <c r="G289" s="8"/>
      <c r="H289" s="9"/>
      <c r="I289" s="9"/>
      <c r="J289" s="9"/>
      <c r="K289" s="7"/>
      <c r="L289" s="7"/>
      <c r="M289" s="9" t="str">
        <f aca="false">IF(AND(H289&lt;&gt;"",I289&lt;&gt;"",K289&lt;&gt;""),ABS(H289-I289)*K289,"")</f>
        <v/>
      </c>
      <c r="N289" s="9"/>
      <c r="O289" s="7"/>
      <c r="P289" s="9" t="str">
        <f aca="false">IF(N289&lt;&gt;"",(N289-H289)*K289*IF(E289="Buy",1,-1),"")</f>
        <v/>
      </c>
      <c r="Q289" s="10" t="str">
        <f aca="false">IF(AND(P289&lt;&gt;"",H289&lt;&gt;0,K289&lt;&gt;0),P289/(H289*K289),"")</f>
        <v/>
      </c>
      <c r="R289" s="11" t="str">
        <f aca="false">IF(AND(N289&lt;&gt;"",H289&lt;&gt;I289),IF(E289="Buy",(N289-H289)/(H289-I289),(H289-N289)/(I289-H289)),"")</f>
        <v/>
      </c>
      <c r="S289" s="7" t="str">
        <f aca="false">IF(D289="","",IF(N289&lt;&gt;"","Closed","Open"))</f>
        <v/>
      </c>
      <c r="T289" s="7"/>
    </row>
    <row r="290" customFormat="false" ht="15" hidden="false" customHeight="false" outlineLevel="0" collapsed="false">
      <c r="A290" s="7"/>
      <c r="B290" s="7"/>
      <c r="C290" s="7"/>
      <c r="D290" s="7"/>
      <c r="E290" s="7"/>
      <c r="F290" s="7"/>
      <c r="G290" s="8"/>
      <c r="H290" s="9"/>
      <c r="I290" s="9"/>
      <c r="J290" s="9"/>
      <c r="K290" s="7"/>
      <c r="L290" s="7"/>
      <c r="M290" s="9" t="str">
        <f aca="false">IF(AND(H290&lt;&gt;"",I290&lt;&gt;"",K290&lt;&gt;""),ABS(H290-I290)*K290,"")</f>
        <v/>
      </c>
      <c r="N290" s="9"/>
      <c r="O290" s="7"/>
      <c r="P290" s="9" t="str">
        <f aca="false">IF(N290&lt;&gt;"",(N290-H290)*K290*IF(E290="Buy",1,-1),"")</f>
        <v/>
      </c>
      <c r="Q290" s="10" t="str">
        <f aca="false">IF(AND(P290&lt;&gt;"",H290&lt;&gt;0,K290&lt;&gt;0),P290/(H290*K290),"")</f>
        <v/>
      </c>
      <c r="R290" s="11" t="str">
        <f aca="false">IF(AND(N290&lt;&gt;"",H290&lt;&gt;I290),IF(E290="Buy",(N290-H290)/(H290-I290),(H290-N290)/(I290-H290)),"")</f>
        <v/>
      </c>
      <c r="S290" s="7" t="str">
        <f aca="false">IF(D290="","",IF(N290&lt;&gt;"","Closed","Open"))</f>
        <v/>
      </c>
      <c r="T290" s="7"/>
    </row>
    <row r="291" customFormat="false" ht="15" hidden="false" customHeight="false" outlineLevel="0" collapsed="false">
      <c r="A291" s="7"/>
      <c r="B291" s="7"/>
      <c r="C291" s="7"/>
      <c r="D291" s="7"/>
      <c r="E291" s="7"/>
      <c r="F291" s="7"/>
      <c r="G291" s="8"/>
      <c r="H291" s="9"/>
      <c r="I291" s="9"/>
      <c r="J291" s="9"/>
      <c r="K291" s="7"/>
      <c r="L291" s="7"/>
      <c r="M291" s="9" t="str">
        <f aca="false">IF(AND(H291&lt;&gt;"",I291&lt;&gt;"",K291&lt;&gt;""),ABS(H291-I291)*K291,"")</f>
        <v/>
      </c>
      <c r="N291" s="9"/>
      <c r="O291" s="7"/>
      <c r="P291" s="9" t="str">
        <f aca="false">IF(N291&lt;&gt;"",(N291-H291)*K291*IF(E291="Buy",1,-1),"")</f>
        <v/>
      </c>
      <c r="Q291" s="10" t="str">
        <f aca="false">IF(AND(P291&lt;&gt;"",H291&lt;&gt;0,K291&lt;&gt;0),P291/(H291*K291),"")</f>
        <v/>
      </c>
      <c r="R291" s="11" t="str">
        <f aca="false">IF(AND(N291&lt;&gt;"",H291&lt;&gt;I291),IF(E291="Buy",(N291-H291)/(H291-I291),(H291-N291)/(I291-H291)),"")</f>
        <v/>
      </c>
      <c r="S291" s="7" t="str">
        <f aca="false">IF(D291="","",IF(N291&lt;&gt;"","Closed","Open"))</f>
        <v/>
      </c>
      <c r="T291" s="7"/>
    </row>
    <row r="292" customFormat="false" ht="15" hidden="false" customHeight="false" outlineLevel="0" collapsed="false">
      <c r="A292" s="7"/>
      <c r="B292" s="7"/>
      <c r="C292" s="7"/>
      <c r="D292" s="7"/>
      <c r="E292" s="7"/>
      <c r="F292" s="7"/>
      <c r="G292" s="8"/>
      <c r="H292" s="9"/>
      <c r="I292" s="9"/>
      <c r="J292" s="9"/>
      <c r="K292" s="7"/>
      <c r="L292" s="7"/>
      <c r="M292" s="9" t="str">
        <f aca="false">IF(AND(H292&lt;&gt;"",I292&lt;&gt;"",K292&lt;&gt;""),ABS(H292-I292)*K292,"")</f>
        <v/>
      </c>
      <c r="N292" s="9"/>
      <c r="O292" s="7"/>
      <c r="P292" s="9" t="str">
        <f aca="false">IF(N292&lt;&gt;"",(N292-H292)*K292*IF(E292="Buy",1,-1),"")</f>
        <v/>
      </c>
      <c r="Q292" s="10" t="str">
        <f aca="false">IF(AND(P292&lt;&gt;"",H292&lt;&gt;0,K292&lt;&gt;0),P292/(H292*K292),"")</f>
        <v/>
      </c>
      <c r="R292" s="11" t="str">
        <f aca="false">IF(AND(N292&lt;&gt;"",H292&lt;&gt;I292),IF(E292="Buy",(N292-H292)/(H292-I292),(H292-N292)/(I292-H292)),"")</f>
        <v/>
      </c>
      <c r="S292" s="7" t="str">
        <f aca="false">IF(D292="","",IF(N292&lt;&gt;"","Closed","Open"))</f>
        <v/>
      </c>
      <c r="T292" s="7"/>
    </row>
    <row r="293" customFormat="false" ht="15" hidden="false" customHeight="false" outlineLevel="0" collapsed="false">
      <c r="A293" s="7"/>
      <c r="B293" s="7"/>
      <c r="C293" s="7"/>
      <c r="D293" s="7"/>
      <c r="E293" s="7"/>
      <c r="F293" s="7"/>
      <c r="G293" s="8"/>
      <c r="H293" s="9"/>
      <c r="I293" s="9"/>
      <c r="J293" s="9"/>
      <c r="K293" s="7"/>
      <c r="L293" s="7"/>
      <c r="M293" s="9" t="str">
        <f aca="false">IF(AND(H293&lt;&gt;"",I293&lt;&gt;"",K293&lt;&gt;""),ABS(H293-I293)*K293,"")</f>
        <v/>
      </c>
      <c r="N293" s="9"/>
      <c r="O293" s="7"/>
      <c r="P293" s="9" t="str">
        <f aca="false">IF(N293&lt;&gt;"",(N293-H293)*K293*IF(E293="Buy",1,-1),"")</f>
        <v/>
      </c>
      <c r="Q293" s="10" t="str">
        <f aca="false">IF(AND(P293&lt;&gt;"",H293&lt;&gt;0,K293&lt;&gt;0),P293/(H293*K293),"")</f>
        <v/>
      </c>
      <c r="R293" s="11" t="str">
        <f aca="false">IF(AND(N293&lt;&gt;"",H293&lt;&gt;I293),IF(E293="Buy",(N293-H293)/(H293-I293),(H293-N293)/(I293-H293)),"")</f>
        <v/>
      </c>
      <c r="S293" s="7" t="str">
        <f aca="false">IF(D293="","",IF(N293&lt;&gt;"","Closed","Open"))</f>
        <v/>
      </c>
      <c r="T293" s="7"/>
    </row>
    <row r="294" customFormat="false" ht="15" hidden="false" customHeight="false" outlineLevel="0" collapsed="false">
      <c r="A294" s="7"/>
      <c r="B294" s="7"/>
      <c r="C294" s="7"/>
      <c r="D294" s="7"/>
      <c r="E294" s="7"/>
      <c r="F294" s="7"/>
      <c r="G294" s="8"/>
      <c r="H294" s="9"/>
      <c r="I294" s="9"/>
      <c r="J294" s="9"/>
      <c r="K294" s="7"/>
      <c r="L294" s="7"/>
      <c r="M294" s="9" t="str">
        <f aca="false">IF(AND(H294&lt;&gt;"",I294&lt;&gt;"",K294&lt;&gt;""),ABS(H294-I294)*K294,"")</f>
        <v/>
      </c>
      <c r="N294" s="9"/>
      <c r="O294" s="7"/>
      <c r="P294" s="9" t="str">
        <f aca="false">IF(N294&lt;&gt;"",(N294-H294)*K294*IF(E294="Buy",1,-1),"")</f>
        <v/>
      </c>
      <c r="Q294" s="10" t="str">
        <f aca="false">IF(AND(P294&lt;&gt;"",H294&lt;&gt;0,K294&lt;&gt;0),P294/(H294*K294),"")</f>
        <v/>
      </c>
      <c r="R294" s="11" t="str">
        <f aca="false">IF(AND(N294&lt;&gt;"",H294&lt;&gt;I294),IF(E294="Buy",(N294-H294)/(H294-I294),(H294-N294)/(I294-H294)),"")</f>
        <v/>
      </c>
      <c r="S294" s="7" t="str">
        <f aca="false">IF(D294="","",IF(N294&lt;&gt;"","Closed","Open"))</f>
        <v/>
      </c>
      <c r="T294" s="7"/>
    </row>
    <row r="295" customFormat="false" ht="15" hidden="false" customHeight="false" outlineLevel="0" collapsed="false">
      <c r="A295" s="7"/>
      <c r="B295" s="7"/>
      <c r="C295" s="7"/>
      <c r="D295" s="7"/>
      <c r="E295" s="7"/>
      <c r="F295" s="7"/>
      <c r="G295" s="8"/>
      <c r="H295" s="9"/>
      <c r="I295" s="9"/>
      <c r="J295" s="9"/>
      <c r="K295" s="7"/>
      <c r="L295" s="7"/>
      <c r="M295" s="9" t="str">
        <f aca="false">IF(AND(H295&lt;&gt;"",I295&lt;&gt;"",K295&lt;&gt;""),ABS(H295-I295)*K295,"")</f>
        <v/>
      </c>
      <c r="N295" s="9"/>
      <c r="O295" s="7"/>
      <c r="P295" s="9" t="str">
        <f aca="false">IF(N295&lt;&gt;"",(N295-H295)*K295*IF(E295="Buy",1,-1),"")</f>
        <v/>
      </c>
      <c r="Q295" s="10" t="str">
        <f aca="false">IF(AND(P295&lt;&gt;"",H295&lt;&gt;0,K295&lt;&gt;0),P295/(H295*K295),"")</f>
        <v/>
      </c>
      <c r="R295" s="11" t="str">
        <f aca="false">IF(AND(N295&lt;&gt;"",H295&lt;&gt;I295),IF(E295="Buy",(N295-H295)/(H295-I295),(H295-N295)/(I295-H295)),"")</f>
        <v/>
      </c>
      <c r="S295" s="7" t="str">
        <f aca="false">IF(D295="","",IF(N295&lt;&gt;"","Closed","Open"))</f>
        <v/>
      </c>
      <c r="T295" s="7"/>
    </row>
    <row r="296" customFormat="false" ht="15" hidden="false" customHeight="false" outlineLevel="0" collapsed="false">
      <c r="A296" s="7"/>
      <c r="B296" s="7"/>
      <c r="C296" s="7"/>
      <c r="D296" s="7"/>
      <c r="E296" s="7"/>
      <c r="F296" s="7"/>
      <c r="G296" s="8"/>
      <c r="H296" s="9"/>
      <c r="I296" s="9"/>
      <c r="J296" s="9"/>
      <c r="K296" s="7"/>
      <c r="L296" s="7"/>
      <c r="M296" s="9" t="str">
        <f aca="false">IF(AND(H296&lt;&gt;"",I296&lt;&gt;"",K296&lt;&gt;""),ABS(H296-I296)*K296,"")</f>
        <v/>
      </c>
      <c r="N296" s="9"/>
      <c r="O296" s="7"/>
      <c r="P296" s="9" t="str">
        <f aca="false">IF(N296&lt;&gt;"",(N296-H296)*K296*IF(E296="Buy",1,-1),"")</f>
        <v/>
      </c>
      <c r="Q296" s="10" t="str">
        <f aca="false">IF(AND(P296&lt;&gt;"",H296&lt;&gt;0,K296&lt;&gt;0),P296/(H296*K296),"")</f>
        <v/>
      </c>
      <c r="R296" s="11" t="str">
        <f aca="false">IF(AND(N296&lt;&gt;"",H296&lt;&gt;I296),IF(E296="Buy",(N296-H296)/(H296-I296),(H296-N296)/(I296-H296)),"")</f>
        <v/>
      </c>
      <c r="S296" s="7" t="str">
        <f aca="false">IF(D296="","",IF(N296&lt;&gt;"","Closed","Open"))</f>
        <v/>
      </c>
      <c r="T296" s="7"/>
    </row>
    <row r="297" customFormat="false" ht="15" hidden="false" customHeight="false" outlineLevel="0" collapsed="false">
      <c r="A297" s="7"/>
      <c r="B297" s="7"/>
      <c r="C297" s="7"/>
      <c r="D297" s="7"/>
      <c r="E297" s="7"/>
      <c r="F297" s="7"/>
      <c r="G297" s="8"/>
      <c r="H297" s="9"/>
      <c r="I297" s="9"/>
      <c r="J297" s="9"/>
      <c r="K297" s="7"/>
      <c r="L297" s="7"/>
      <c r="M297" s="9" t="str">
        <f aca="false">IF(AND(H297&lt;&gt;"",I297&lt;&gt;"",K297&lt;&gt;""),ABS(H297-I297)*K297,"")</f>
        <v/>
      </c>
      <c r="N297" s="9"/>
      <c r="O297" s="7"/>
      <c r="P297" s="9" t="str">
        <f aca="false">IF(N297&lt;&gt;"",(N297-H297)*K297*IF(E297="Buy",1,-1),"")</f>
        <v/>
      </c>
      <c r="Q297" s="10" t="str">
        <f aca="false">IF(AND(P297&lt;&gt;"",H297&lt;&gt;0,K297&lt;&gt;0),P297/(H297*K297),"")</f>
        <v/>
      </c>
      <c r="R297" s="11" t="str">
        <f aca="false">IF(AND(N297&lt;&gt;"",H297&lt;&gt;I297),IF(E297="Buy",(N297-H297)/(H297-I297),(H297-N297)/(I297-H297)),"")</f>
        <v/>
      </c>
      <c r="S297" s="7" t="str">
        <f aca="false">IF(D297="","",IF(N297&lt;&gt;"","Closed","Open"))</f>
        <v/>
      </c>
      <c r="T297" s="7"/>
    </row>
    <row r="298" customFormat="false" ht="15" hidden="false" customHeight="false" outlineLevel="0" collapsed="false">
      <c r="A298" s="7"/>
      <c r="B298" s="7"/>
      <c r="C298" s="7"/>
      <c r="D298" s="7"/>
      <c r="E298" s="7"/>
      <c r="F298" s="7"/>
      <c r="G298" s="8"/>
      <c r="H298" s="9"/>
      <c r="I298" s="9"/>
      <c r="J298" s="9"/>
      <c r="K298" s="7"/>
      <c r="L298" s="7"/>
      <c r="M298" s="9" t="str">
        <f aca="false">IF(AND(H298&lt;&gt;"",I298&lt;&gt;"",K298&lt;&gt;""),ABS(H298-I298)*K298,"")</f>
        <v/>
      </c>
      <c r="N298" s="9"/>
      <c r="O298" s="7"/>
      <c r="P298" s="9" t="str">
        <f aca="false">IF(N298&lt;&gt;"",(N298-H298)*K298*IF(E298="Buy",1,-1),"")</f>
        <v/>
      </c>
      <c r="Q298" s="10" t="str">
        <f aca="false">IF(AND(P298&lt;&gt;"",H298&lt;&gt;0,K298&lt;&gt;0),P298/(H298*K298),"")</f>
        <v/>
      </c>
      <c r="R298" s="11" t="str">
        <f aca="false">IF(AND(N298&lt;&gt;"",H298&lt;&gt;I298),IF(E298="Buy",(N298-H298)/(H298-I298),(H298-N298)/(I298-H298)),"")</f>
        <v/>
      </c>
      <c r="S298" s="7" t="str">
        <f aca="false">IF(D298="","",IF(N298&lt;&gt;"","Closed","Open"))</f>
        <v/>
      </c>
      <c r="T298" s="7"/>
    </row>
    <row r="299" customFormat="false" ht="15" hidden="false" customHeight="false" outlineLevel="0" collapsed="false">
      <c r="A299" s="7"/>
      <c r="B299" s="7"/>
      <c r="C299" s="7"/>
      <c r="D299" s="7"/>
      <c r="E299" s="7"/>
      <c r="F299" s="7"/>
      <c r="G299" s="8"/>
      <c r="H299" s="9"/>
      <c r="I299" s="9"/>
      <c r="J299" s="9"/>
      <c r="K299" s="7"/>
      <c r="L299" s="7"/>
      <c r="M299" s="9" t="str">
        <f aca="false">IF(AND(H299&lt;&gt;"",I299&lt;&gt;"",K299&lt;&gt;""),ABS(H299-I299)*K299,"")</f>
        <v/>
      </c>
      <c r="N299" s="9"/>
      <c r="O299" s="7"/>
      <c r="P299" s="9" t="str">
        <f aca="false">IF(N299&lt;&gt;"",(N299-H299)*K299*IF(E299="Buy",1,-1),"")</f>
        <v/>
      </c>
      <c r="Q299" s="10" t="str">
        <f aca="false">IF(AND(P299&lt;&gt;"",H299&lt;&gt;0,K299&lt;&gt;0),P299/(H299*K299),"")</f>
        <v/>
      </c>
      <c r="R299" s="11" t="str">
        <f aca="false">IF(AND(N299&lt;&gt;"",H299&lt;&gt;I299),IF(E299="Buy",(N299-H299)/(H299-I299),(H299-N299)/(I299-H299)),"")</f>
        <v/>
      </c>
      <c r="S299" s="7" t="str">
        <f aca="false">IF(D299="","",IF(N299&lt;&gt;"","Closed","Open"))</f>
        <v/>
      </c>
      <c r="T299" s="7"/>
    </row>
    <row r="300" customFormat="false" ht="15" hidden="false" customHeight="false" outlineLevel="0" collapsed="false">
      <c r="A300" s="7"/>
      <c r="B300" s="7"/>
      <c r="C300" s="7"/>
      <c r="D300" s="7"/>
      <c r="E300" s="7"/>
      <c r="F300" s="7"/>
      <c r="G300" s="8"/>
      <c r="H300" s="9"/>
      <c r="I300" s="9"/>
      <c r="J300" s="9"/>
      <c r="K300" s="7"/>
      <c r="L300" s="7"/>
      <c r="M300" s="9" t="str">
        <f aca="false">IF(AND(H300&lt;&gt;"",I300&lt;&gt;"",K300&lt;&gt;""),ABS(H300-I300)*K300,"")</f>
        <v/>
      </c>
      <c r="N300" s="9"/>
      <c r="O300" s="7"/>
      <c r="P300" s="9" t="str">
        <f aca="false">IF(N300&lt;&gt;"",(N300-H300)*K300*IF(E300="Buy",1,-1),"")</f>
        <v/>
      </c>
      <c r="Q300" s="10" t="str">
        <f aca="false">IF(AND(P300&lt;&gt;"",H300&lt;&gt;0,K300&lt;&gt;0),P300/(H300*K300),"")</f>
        <v/>
      </c>
      <c r="R300" s="11" t="str">
        <f aca="false">IF(AND(N300&lt;&gt;"",H300&lt;&gt;I300),IF(E300="Buy",(N300-H300)/(H300-I300),(H300-N300)/(I300-H300)),"")</f>
        <v/>
      </c>
      <c r="S300" s="7" t="str">
        <f aca="false">IF(D300="","",IF(N300&lt;&gt;"","Closed","Open"))</f>
        <v/>
      </c>
      <c r="T300" s="7"/>
    </row>
    <row r="301" customFormat="false" ht="15" hidden="false" customHeight="false" outlineLevel="0" collapsed="false">
      <c r="A301" s="7"/>
      <c r="B301" s="7"/>
      <c r="C301" s="7"/>
      <c r="D301" s="7"/>
      <c r="E301" s="7"/>
      <c r="F301" s="7"/>
      <c r="G301" s="8"/>
      <c r="H301" s="9"/>
      <c r="I301" s="9"/>
      <c r="J301" s="9"/>
      <c r="K301" s="7"/>
      <c r="L301" s="7"/>
      <c r="M301" s="9" t="str">
        <f aca="false">IF(AND(H301&lt;&gt;"",I301&lt;&gt;"",K301&lt;&gt;""),ABS(H301-I301)*K301,"")</f>
        <v/>
      </c>
      <c r="N301" s="9"/>
      <c r="O301" s="7"/>
      <c r="P301" s="9" t="str">
        <f aca="false">IF(N301&lt;&gt;"",(N301-H301)*K301*IF(E301="Buy",1,-1),"")</f>
        <v/>
      </c>
      <c r="Q301" s="10" t="str">
        <f aca="false">IF(AND(P301&lt;&gt;"",H301&lt;&gt;0,K301&lt;&gt;0),P301/(H301*K301),"")</f>
        <v/>
      </c>
      <c r="R301" s="11" t="str">
        <f aca="false">IF(AND(N301&lt;&gt;"",H301&lt;&gt;I301),IF(E301="Buy",(N301-H301)/(H301-I301),(H301-N301)/(I301-H301)),"")</f>
        <v/>
      </c>
      <c r="S301" s="7" t="str">
        <f aca="false">IF(D301="","",IF(N301&lt;&gt;"","Closed","Open"))</f>
        <v/>
      </c>
      <c r="T301" s="7"/>
    </row>
    <row r="302" customFormat="false" ht="15" hidden="false" customHeight="false" outlineLevel="0" collapsed="false">
      <c r="A302" s="7"/>
      <c r="B302" s="7"/>
      <c r="C302" s="7"/>
      <c r="D302" s="7"/>
      <c r="E302" s="7"/>
      <c r="F302" s="7"/>
      <c r="G302" s="8"/>
      <c r="H302" s="9"/>
      <c r="I302" s="9"/>
      <c r="J302" s="9"/>
      <c r="K302" s="7"/>
      <c r="L302" s="7"/>
      <c r="M302" s="9" t="str">
        <f aca="false">IF(AND(H302&lt;&gt;"",I302&lt;&gt;"",K302&lt;&gt;""),ABS(H302-I302)*K302,"")</f>
        <v/>
      </c>
      <c r="N302" s="9"/>
      <c r="O302" s="7"/>
      <c r="P302" s="9" t="str">
        <f aca="false">IF(N302&lt;&gt;"",(N302-H302)*K302*IF(E302="Buy",1,-1),"")</f>
        <v/>
      </c>
      <c r="Q302" s="10" t="str">
        <f aca="false">IF(AND(P302&lt;&gt;"",H302&lt;&gt;0,K302&lt;&gt;0),P302/(H302*K302),"")</f>
        <v/>
      </c>
      <c r="R302" s="11" t="str">
        <f aca="false">IF(AND(N302&lt;&gt;"",H302&lt;&gt;I302),IF(E302="Buy",(N302-H302)/(H302-I302),(H302-N302)/(I302-H302)),"")</f>
        <v/>
      </c>
      <c r="S302" s="7" t="str">
        <f aca="false">IF(D302="","",IF(N302&lt;&gt;"","Closed","Open"))</f>
        <v/>
      </c>
      <c r="T302" s="7"/>
    </row>
    <row r="303" customFormat="false" ht="15" hidden="false" customHeight="false" outlineLevel="0" collapsed="false">
      <c r="A303" s="7"/>
      <c r="B303" s="7"/>
      <c r="C303" s="7"/>
      <c r="D303" s="7"/>
      <c r="E303" s="7"/>
      <c r="F303" s="7"/>
      <c r="G303" s="8"/>
      <c r="H303" s="9"/>
      <c r="I303" s="9"/>
      <c r="J303" s="9"/>
      <c r="K303" s="7"/>
      <c r="L303" s="7"/>
      <c r="M303" s="9" t="str">
        <f aca="false">IF(AND(H303&lt;&gt;"",I303&lt;&gt;"",K303&lt;&gt;""),ABS(H303-I303)*K303,"")</f>
        <v/>
      </c>
      <c r="N303" s="9"/>
      <c r="O303" s="7"/>
      <c r="P303" s="9" t="str">
        <f aca="false">IF(N303&lt;&gt;"",(N303-H303)*K303*IF(E303="Buy",1,-1),"")</f>
        <v/>
      </c>
      <c r="Q303" s="10" t="str">
        <f aca="false">IF(AND(P303&lt;&gt;"",H303&lt;&gt;0,K303&lt;&gt;0),P303/(H303*K303),"")</f>
        <v/>
      </c>
      <c r="R303" s="11" t="str">
        <f aca="false">IF(AND(N303&lt;&gt;"",H303&lt;&gt;I303),IF(E303="Buy",(N303-H303)/(H303-I303),(H303-N303)/(I303-H303)),"")</f>
        <v/>
      </c>
      <c r="S303" s="7" t="str">
        <f aca="false">IF(D303="","",IF(N303&lt;&gt;"","Closed","Open"))</f>
        <v/>
      </c>
      <c r="T303" s="7"/>
    </row>
    <row r="304" customFormat="false" ht="15" hidden="false" customHeight="false" outlineLevel="0" collapsed="false">
      <c r="A304" s="7"/>
      <c r="B304" s="7"/>
      <c r="C304" s="7"/>
      <c r="D304" s="7"/>
      <c r="E304" s="7"/>
      <c r="F304" s="7"/>
      <c r="G304" s="8"/>
      <c r="H304" s="9"/>
      <c r="I304" s="9"/>
      <c r="J304" s="9"/>
      <c r="K304" s="7"/>
      <c r="L304" s="7"/>
      <c r="M304" s="9" t="str">
        <f aca="false">IF(AND(H304&lt;&gt;"",I304&lt;&gt;"",K304&lt;&gt;""),ABS(H304-I304)*K304,"")</f>
        <v/>
      </c>
      <c r="N304" s="9"/>
      <c r="O304" s="7"/>
      <c r="P304" s="9" t="str">
        <f aca="false">IF(N304&lt;&gt;"",(N304-H304)*K304*IF(E304="Buy",1,-1),"")</f>
        <v/>
      </c>
      <c r="Q304" s="10" t="str">
        <f aca="false">IF(AND(P304&lt;&gt;"",H304&lt;&gt;0,K304&lt;&gt;0),P304/(H304*K304),"")</f>
        <v/>
      </c>
      <c r="R304" s="11" t="str">
        <f aca="false">IF(AND(N304&lt;&gt;"",H304&lt;&gt;I304),IF(E304="Buy",(N304-H304)/(H304-I304),(H304-N304)/(I304-H304)),"")</f>
        <v/>
      </c>
      <c r="S304" s="7" t="str">
        <f aca="false">IF(D304="","",IF(N304&lt;&gt;"","Closed","Open"))</f>
        <v/>
      </c>
      <c r="T304" s="7"/>
    </row>
    <row r="305" customFormat="false" ht="15" hidden="false" customHeight="false" outlineLevel="0" collapsed="false">
      <c r="A305" s="7"/>
      <c r="B305" s="7"/>
      <c r="C305" s="7"/>
      <c r="D305" s="7"/>
      <c r="E305" s="7"/>
      <c r="F305" s="7"/>
      <c r="G305" s="8"/>
      <c r="H305" s="9"/>
      <c r="I305" s="9"/>
      <c r="J305" s="9"/>
      <c r="K305" s="7"/>
      <c r="L305" s="7"/>
      <c r="M305" s="9" t="str">
        <f aca="false">IF(AND(H305&lt;&gt;"",I305&lt;&gt;"",K305&lt;&gt;""),ABS(H305-I305)*K305,"")</f>
        <v/>
      </c>
      <c r="N305" s="9"/>
      <c r="O305" s="7"/>
      <c r="P305" s="9" t="str">
        <f aca="false">IF(N305&lt;&gt;"",(N305-H305)*K305*IF(E305="Buy",1,-1),"")</f>
        <v/>
      </c>
      <c r="Q305" s="10" t="str">
        <f aca="false">IF(AND(P305&lt;&gt;"",H305&lt;&gt;0,K305&lt;&gt;0),P305/(H305*K305),"")</f>
        <v/>
      </c>
      <c r="R305" s="11" t="str">
        <f aca="false">IF(AND(N305&lt;&gt;"",H305&lt;&gt;I305),IF(E305="Buy",(N305-H305)/(H305-I305),(H305-N305)/(I305-H305)),"")</f>
        <v/>
      </c>
      <c r="S305" s="7" t="str">
        <f aca="false">IF(D305="","",IF(N305&lt;&gt;"","Closed","Open"))</f>
        <v/>
      </c>
      <c r="T305" s="7"/>
    </row>
    <row r="306" customFormat="false" ht="15" hidden="false" customHeight="false" outlineLevel="0" collapsed="false">
      <c r="A306" s="7"/>
      <c r="B306" s="7"/>
      <c r="C306" s="7"/>
      <c r="D306" s="7"/>
      <c r="E306" s="7"/>
      <c r="F306" s="7"/>
      <c r="G306" s="8"/>
      <c r="H306" s="9"/>
      <c r="I306" s="9"/>
      <c r="J306" s="9"/>
      <c r="K306" s="7"/>
      <c r="L306" s="7"/>
      <c r="M306" s="9" t="str">
        <f aca="false">IF(AND(H306&lt;&gt;"",I306&lt;&gt;"",K306&lt;&gt;""),ABS(H306-I306)*K306,"")</f>
        <v/>
      </c>
      <c r="N306" s="9"/>
      <c r="O306" s="7"/>
      <c r="P306" s="9" t="str">
        <f aca="false">IF(N306&lt;&gt;"",(N306-H306)*K306*IF(E306="Buy",1,-1),"")</f>
        <v/>
      </c>
      <c r="Q306" s="10" t="str">
        <f aca="false">IF(AND(P306&lt;&gt;"",H306&lt;&gt;0,K306&lt;&gt;0),P306/(H306*K306),"")</f>
        <v/>
      </c>
      <c r="R306" s="11" t="str">
        <f aca="false">IF(AND(N306&lt;&gt;"",H306&lt;&gt;I306),IF(E306="Buy",(N306-H306)/(H306-I306),(H306-N306)/(I306-H306)),"")</f>
        <v/>
      </c>
      <c r="S306" s="7" t="str">
        <f aca="false">IF(D306="","",IF(N306&lt;&gt;"","Closed","Open"))</f>
        <v/>
      </c>
      <c r="T306" s="7"/>
    </row>
    <row r="307" customFormat="false" ht="15" hidden="false" customHeight="false" outlineLevel="0" collapsed="false">
      <c r="A307" s="7"/>
      <c r="B307" s="7"/>
      <c r="C307" s="7"/>
      <c r="D307" s="7"/>
      <c r="E307" s="7"/>
      <c r="F307" s="7"/>
      <c r="G307" s="8"/>
      <c r="H307" s="9"/>
      <c r="I307" s="9"/>
      <c r="J307" s="9"/>
      <c r="K307" s="7"/>
      <c r="L307" s="7"/>
      <c r="M307" s="9" t="str">
        <f aca="false">IF(AND(H307&lt;&gt;"",I307&lt;&gt;"",K307&lt;&gt;""),ABS(H307-I307)*K307,"")</f>
        <v/>
      </c>
      <c r="N307" s="9"/>
      <c r="O307" s="7"/>
      <c r="P307" s="9" t="str">
        <f aca="false">IF(N307&lt;&gt;"",(N307-H307)*K307*IF(E307="Buy",1,-1),"")</f>
        <v/>
      </c>
      <c r="Q307" s="10" t="str">
        <f aca="false">IF(AND(P307&lt;&gt;"",H307&lt;&gt;0,K307&lt;&gt;0),P307/(H307*K307),"")</f>
        <v/>
      </c>
      <c r="R307" s="11" t="str">
        <f aca="false">IF(AND(N307&lt;&gt;"",H307&lt;&gt;I307),IF(E307="Buy",(N307-H307)/(H307-I307),(H307-N307)/(I307-H307)),"")</f>
        <v/>
      </c>
      <c r="S307" s="7" t="str">
        <f aca="false">IF(D307="","",IF(N307&lt;&gt;"","Closed","Open"))</f>
        <v/>
      </c>
      <c r="T307" s="7"/>
    </row>
    <row r="308" customFormat="false" ht="15" hidden="false" customHeight="false" outlineLevel="0" collapsed="false">
      <c r="A308" s="7"/>
      <c r="B308" s="7"/>
      <c r="C308" s="7"/>
      <c r="D308" s="7"/>
      <c r="E308" s="7"/>
      <c r="F308" s="7"/>
      <c r="G308" s="8"/>
      <c r="H308" s="9"/>
      <c r="I308" s="9"/>
      <c r="J308" s="9"/>
      <c r="K308" s="7"/>
      <c r="L308" s="7"/>
      <c r="M308" s="9" t="str">
        <f aca="false">IF(AND(H308&lt;&gt;"",I308&lt;&gt;"",K308&lt;&gt;""),ABS(H308-I308)*K308,"")</f>
        <v/>
      </c>
      <c r="N308" s="9"/>
      <c r="O308" s="7"/>
      <c r="P308" s="9" t="str">
        <f aca="false">IF(N308&lt;&gt;"",(N308-H308)*K308*IF(E308="Buy",1,-1),"")</f>
        <v/>
      </c>
      <c r="Q308" s="10" t="str">
        <f aca="false">IF(AND(P308&lt;&gt;"",H308&lt;&gt;0,K308&lt;&gt;0),P308/(H308*K308),"")</f>
        <v/>
      </c>
      <c r="R308" s="11" t="str">
        <f aca="false">IF(AND(N308&lt;&gt;"",H308&lt;&gt;I308),IF(E308="Buy",(N308-H308)/(H308-I308),(H308-N308)/(I308-H308)),"")</f>
        <v/>
      </c>
      <c r="S308" s="7" t="str">
        <f aca="false">IF(D308="","",IF(N308&lt;&gt;"","Closed","Open"))</f>
        <v/>
      </c>
      <c r="T308" s="7"/>
    </row>
    <row r="309" customFormat="false" ht="15" hidden="false" customHeight="false" outlineLevel="0" collapsed="false">
      <c r="A309" s="7"/>
      <c r="B309" s="7"/>
      <c r="C309" s="7"/>
      <c r="D309" s="7"/>
      <c r="E309" s="7"/>
      <c r="F309" s="7"/>
      <c r="G309" s="8"/>
      <c r="H309" s="9"/>
      <c r="I309" s="9"/>
      <c r="J309" s="9"/>
      <c r="K309" s="7"/>
      <c r="L309" s="7"/>
      <c r="M309" s="9" t="str">
        <f aca="false">IF(AND(H309&lt;&gt;"",I309&lt;&gt;"",K309&lt;&gt;""),ABS(H309-I309)*K309,"")</f>
        <v/>
      </c>
      <c r="N309" s="9"/>
      <c r="O309" s="7"/>
      <c r="P309" s="9" t="str">
        <f aca="false">IF(N309&lt;&gt;"",(N309-H309)*K309*IF(E309="Buy",1,-1),"")</f>
        <v/>
      </c>
      <c r="Q309" s="10" t="str">
        <f aca="false">IF(AND(P309&lt;&gt;"",H309&lt;&gt;0,K309&lt;&gt;0),P309/(H309*K309),"")</f>
        <v/>
      </c>
      <c r="R309" s="11" t="str">
        <f aca="false">IF(AND(N309&lt;&gt;"",H309&lt;&gt;I309),IF(E309="Buy",(N309-H309)/(H309-I309),(H309-N309)/(I309-H309)),"")</f>
        <v/>
      </c>
      <c r="S309" s="7" t="str">
        <f aca="false">IF(D309="","",IF(N309&lt;&gt;"","Closed","Open"))</f>
        <v/>
      </c>
      <c r="T309" s="7"/>
    </row>
    <row r="310" customFormat="false" ht="15" hidden="false" customHeight="false" outlineLevel="0" collapsed="false">
      <c r="A310" s="7"/>
      <c r="B310" s="7"/>
      <c r="C310" s="7"/>
      <c r="D310" s="7"/>
      <c r="E310" s="7"/>
      <c r="F310" s="7"/>
      <c r="G310" s="8"/>
      <c r="H310" s="9"/>
      <c r="I310" s="9"/>
      <c r="J310" s="9"/>
      <c r="K310" s="7"/>
      <c r="L310" s="7"/>
      <c r="M310" s="9" t="str">
        <f aca="false">IF(AND(H310&lt;&gt;"",I310&lt;&gt;"",K310&lt;&gt;""),ABS(H310-I310)*K310,"")</f>
        <v/>
      </c>
      <c r="N310" s="9"/>
      <c r="O310" s="7"/>
      <c r="P310" s="9" t="str">
        <f aca="false">IF(N310&lt;&gt;"",(N310-H310)*K310*IF(E310="Buy",1,-1),"")</f>
        <v/>
      </c>
      <c r="Q310" s="10" t="str">
        <f aca="false">IF(AND(P310&lt;&gt;"",H310&lt;&gt;0,K310&lt;&gt;0),P310/(H310*K310),"")</f>
        <v/>
      </c>
      <c r="R310" s="11" t="str">
        <f aca="false">IF(AND(N310&lt;&gt;"",H310&lt;&gt;I310),IF(E310="Buy",(N310-H310)/(H310-I310),(H310-N310)/(I310-H310)),"")</f>
        <v/>
      </c>
      <c r="S310" s="7" t="str">
        <f aca="false">IF(D310="","",IF(N310&lt;&gt;"","Closed","Open"))</f>
        <v/>
      </c>
      <c r="T310" s="7"/>
    </row>
    <row r="311" customFormat="false" ht="15" hidden="false" customHeight="false" outlineLevel="0" collapsed="false">
      <c r="A311" s="7"/>
      <c r="B311" s="7"/>
      <c r="C311" s="7"/>
      <c r="D311" s="7"/>
      <c r="E311" s="7"/>
      <c r="F311" s="7"/>
      <c r="G311" s="8"/>
      <c r="H311" s="9"/>
      <c r="I311" s="9"/>
      <c r="J311" s="9"/>
      <c r="K311" s="7"/>
      <c r="L311" s="7"/>
      <c r="M311" s="9" t="str">
        <f aca="false">IF(AND(H311&lt;&gt;"",I311&lt;&gt;"",K311&lt;&gt;""),ABS(H311-I311)*K311,"")</f>
        <v/>
      </c>
      <c r="N311" s="9"/>
      <c r="O311" s="7"/>
      <c r="P311" s="9" t="str">
        <f aca="false">IF(N311&lt;&gt;"",(N311-H311)*K311*IF(E311="Buy",1,-1),"")</f>
        <v/>
      </c>
      <c r="Q311" s="10" t="str">
        <f aca="false">IF(AND(P311&lt;&gt;"",H311&lt;&gt;0,K311&lt;&gt;0),P311/(H311*K311),"")</f>
        <v/>
      </c>
      <c r="R311" s="11" t="str">
        <f aca="false">IF(AND(N311&lt;&gt;"",H311&lt;&gt;I311),IF(E311="Buy",(N311-H311)/(H311-I311),(H311-N311)/(I311-H311)),"")</f>
        <v/>
      </c>
      <c r="S311" s="7" t="str">
        <f aca="false">IF(D311="","",IF(N311&lt;&gt;"","Closed","Open"))</f>
        <v/>
      </c>
      <c r="T311" s="7"/>
    </row>
    <row r="312" customFormat="false" ht="15" hidden="false" customHeight="false" outlineLevel="0" collapsed="false">
      <c r="A312" s="7"/>
      <c r="B312" s="7"/>
      <c r="C312" s="7"/>
      <c r="D312" s="7"/>
      <c r="E312" s="7"/>
      <c r="F312" s="7"/>
      <c r="G312" s="8"/>
      <c r="H312" s="9"/>
      <c r="I312" s="9"/>
      <c r="J312" s="9"/>
      <c r="K312" s="7"/>
      <c r="L312" s="7"/>
      <c r="M312" s="9" t="str">
        <f aca="false">IF(AND(H312&lt;&gt;"",I312&lt;&gt;"",K312&lt;&gt;""),ABS(H312-I312)*K312,"")</f>
        <v/>
      </c>
      <c r="N312" s="9"/>
      <c r="O312" s="7"/>
      <c r="P312" s="9" t="str">
        <f aca="false">IF(N312&lt;&gt;"",(N312-H312)*K312*IF(E312="Buy",1,-1),"")</f>
        <v/>
      </c>
      <c r="Q312" s="10" t="str">
        <f aca="false">IF(AND(P312&lt;&gt;"",H312&lt;&gt;0,K312&lt;&gt;0),P312/(H312*K312),"")</f>
        <v/>
      </c>
      <c r="R312" s="11" t="str">
        <f aca="false">IF(AND(N312&lt;&gt;"",H312&lt;&gt;I312),IF(E312="Buy",(N312-H312)/(H312-I312),(H312-N312)/(I312-H312)),"")</f>
        <v/>
      </c>
      <c r="S312" s="7" t="str">
        <f aca="false">IF(D312="","",IF(N312&lt;&gt;"","Closed","Open"))</f>
        <v/>
      </c>
      <c r="T312" s="7"/>
    </row>
    <row r="313" customFormat="false" ht="15" hidden="false" customHeight="false" outlineLevel="0" collapsed="false">
      <c r="A313" s="7"/>
      <c r="B313" s="7"/>
      <c r="C313" s="7"/>
      <c r="D313" s="7"/>
      <c r="E313" s="7"/>
      <c r="F313" s="7"/>
      <c r="G313" s="8"/>
      <c r="H313" s="9"/>
      <c r="I313" s="9"/>
      <c r="J313" s="9"/>
      <c r="K313" s="7"/>
      <c r="L313" s="7"/>
      <c r="M313" s="9" t="str">
        <f aca="false">IF(AND(H313&lt;&gt;"",I313&lt;&gt;"",K313&lt;&gt;""),ABS(H313-I313)*K313,"")</f>
        <v/>
      </c>
      <c r="N313" s="9"/>
      <c r="O313" s="7"/>
      <c r="P313" s="9" t="str">
        <f aca="false">IF(N313&lt;&gt;"",(N313-H313)*K313*IF(E313="Buy",1,-1),"")</f>
        <v/>
      </c>
      <c r="Q313" s="10" t="str">
        <f aca="false">IF(AND(P313&lt;&gt;"",H313&lt;&gt;0,K313&lt;&gt;0),P313/(H313*K313),"")</f>
        <v/>
      </c>
      <c r="R313" s="11" t="str">
        <f aca="false">IF(AND(N313&lt;&gt;"",H313&lt;&gt;I313),IF(E313="Buy",(N313-H313)/(H313-I313),(H313-N313)/(I313-H313)),"")</f>
        <v/>
      </c>
      <c r="S313" s="7" t="str">
        <f aca="false">IF(D313="","",IF(N313&lt;&gt;"","Closed","Open"))</f>
        <v/>
      </c>
      <c r="T313" s="7"/>
    </row>
    <row r="314" customFormat="false" ht="15" hidden="false" customHeight="false" outlineLevel="0" collapsed="false">
      <c r="A314" s="7"/>
      <c r="B314" s="7"/>
      <c r="C314" s="7"/>
      <c r="D314" s="7"/>
      <c r="E314" s="7"/>
      <c r="F314" s="7"/>
      <c r="G314" s="8"/>
      <c r="H314" s="9"/>
      <c r="I314" s="9"/>
      <c r="J314" s="9"/>
      <c r="K314" s="7"/>
      <c r="L314" s="7"/>
      <c r="M314" s="9" t="str">
        <f aca="false">IF(AND(H314&lt;&gt;"",I314&lt;&gt;"",K314&lt;&gt;""),ABS(H314-I314)*K314,"")</f>
        <v/>
      </c>
      <c r="N314" s="9"/>
      <c r="O314" s="7"/>
      <c r="P314" s="9" t="str">
        <f aca="false">IF(N314&lt;&gt;"",(N314-H314)*K314*IF(E314="Buy",1,-1),"")</f>
        <v/>
      </c>
      <c r="Q314" s="10" t="str">
        <f aca="false">IF(AND(P314&lt;&gt;"",H314&lt;&gt;0,K314&lt;&gt;0),P314/(H314*K314),"")</f>
        <v/>
      </c>
      <c r="R314" s="11" t="str">
        <f aca="false">IF(AND(N314&lt;&gt;"",H314&lt;&gt;I314),IF(E314="Buy",(N314-H314)/(H314-I314),(H314-N314)/(I314-H314)),"")</f>
        <v/>
      </c>
      <c r="S314" s="7" t="str">
        <f aca="false">IF(D314="","",IF(N314&lt;&gt;"","Closed","Open"))</f>
        <v/>
      </c>
      <c r="T314" s="7"/>
    </row>
    <row r="315" customFormat="false" ht="15" hidden="false" customHeight="false" outlineLevel="0" collapsed="false">
      <c r="A315" s="7"/>
      <c r="B315" s="7"/>
      <c r="C315" s="7"/>
      <c r="D315" s="7"/>
      <c r="E315" s="7"/>
      <c r="F315" s="7"/>
      <c r="G315" s="8"/>
      <c r="H315" s="9"/>
      <c r="I315" s="9"/>
      <c r="J315" s="9"/>
      <c r="K315" s="7"/>
      <c r="L315" s="7"/>
      <c r="M315" s="9" t="str">
        <f aca="false">IF(AND(H315&lt;&gt;"",I315&lt;&gt;"",K315&lt;&gt;""),ABS(H315-I315)*K315,"")</f>
        <v/>
      </c>
      <c r="N315" s="9"/>
      <c r="O315" s="7"/>
      <c r="P315" s="9" t="str">
        <f aca="false">IF(N315&lt;&gt;"",(N315-H315)*K315*IF(E315="Buy",1,-1),"")</f>
        <v/>
      </c>
      <c r="Q315" s="10" t="str">
        <f aca="false">IF(AND(P315&lt;&gt;"",H315&lt;&gt;0,K315&lt;&gt;0),P315/(H315*K315),"")</f>
        <v/>
      </c>
      <c r="R315" s="11" t="str">
        <f aca="false">IF(AND(N315&lt;&gt;"",H315&lt;&gt;I315),IF(E315="Buy",(N315-H315)/(H315-I315),(H315-N315)/(I315-H315)),"")</f>
        <v/>
      </c>
      <c r="S315" s="7" t="str">
        <f aca="false">IF(D315="","",IF(N315&lt;&gt;"","Closed","Open"))</f>
        <v/>
      </c>
      <c r="T315" s="7"/>
    </row>
    <row r="316" customFormat="false" ht="15" hidden="false" customHeight="false" outlineLevel="0" collapsed="false">
      <c r="A316" s="7"/>
      <c r="B316" s="7"/>
      <c r="C316" s="7"/>
      <c r="D316" s="7"/>
      <c r="E316" s="7"/>
      <c r="F316" s="7"/>
      <c r="G316" s="8"/>
      <c r="H316" s="9"/>
      <c r="I316" s="9"/>
      <c r="J316" s="9"/>
      <c r="K316" s="7"/>
      <c r="L316" s="7"/>
      <c r="M316" s="9" t="str">
        <f aca="false">IF(AND(H316&lt;&gt;"",I316&lt;&gt;"",K316&lt;&gt;""),ABS(H316-I316)*K316,"")</f>
        <v/>
      </c>
      <c r="N316" s="9"/>
      <c r="O316" s="7"/>
      <c r="P316" s="9" t="str">
        <f aca="false">IF(N316&lt;&gt;"",(N316-H316)*K316*IF(E316="Buy",1,-1),"")</f>
        <v/>
      </c>
      <c r="Q316" s="10" t="str">
        <f aca="false">IF(AND(P316&lt;&gt;"",H316&lt;&gt;0,K316&lt;&gt;0),P316/(H316*K316),"")</f>
        <v/>
      </c>
      <c r="R316" s="11" t="str">
        <f aca="false">IF(AND(N316&lt;&gt;"",H316&lt;&gt;I316),IF(E316="Buy",(N316-H316)/(H316-I316),(H316-N316)/(I316-H316)),"")</f>
        <v/>
      </c>
      <c r="S316" s="7" t="str">
        <f aca="false">IF(D316="","",IF(N316&lt;&gt;"","Closed","Open"))</f>
        <v/>
      </c>
      <c r="T316" s="7"/>
    </row>
    <row r="317" customFormat="false" ht="15" hidden="false" customHeight="false" outlineLevel="0" collapsed="false">
      <c r="A317" s="7"/>
      <c r="B317" s="7"/>
      <c r="C317" s="7"/>
      <c r="D317" s="7"/>
      <c r="E317" s="7"/>
      <c r="F317" s="7"/>
      <c r="G317" s="8"/>
      <c r="H317" s="9"/>
      <c r="I317" s="9"/>
      <c r="J317" s="9"/>
      <c r="K317" s="7"/>
      <c r="L317" s="7"/>
      <c r="M317" s="9" t="str">
        <f aca="false">IF(AND(H317&lt;&gt;"",I317&lt;&gt;"",K317&lt;&gt;""),ABS(H317-I317)*K317,"")</f>
        <v/>
      </c>
      <c r="N317" s="9"/>
      <c r="O317" s="7"/>
      <c r="P317" s="9" t="str">
        <f aca="false">IF(N317&lt;&gt;"",(N317-H317)*K317*IF(E317="Buy",1,-1),"")</f>
        <v/>
      </c>
      <c r="Q317" s="10" t="str">
        <f aca="false">IF(AND(P317&lt;&gt;"",H317&lt;&gt;0,K317&lt;&gt;0),P317/(H317*K317),"")</f>
        <v/>
      </c>
      <c r="R317" s="11" t="str">
        <f aca="false">IF(AND(N317&lt;&gt;"",H317&lt;&gt;I317),IF(E317="Buy",(N317-H317)/(H317-I317),(H317-N317)/(I317-H317)),"")</f>
        <v/>
      </c>
      <c r="S317" s="7" t="str">
        <f aca="false">IF(D317="","",IF(N317&lt;&gt;"","Closed","Open"))</f>
        <v/>
      </c>
      <c r="T317" s="7"/>
    </row>
    <row r="318" customFormat="false" ht="15" hidden="false" customHeight="false" outlineLevel="0" collapsed="false">
      <c r="A318" s="7"/>
      <c r="B318" s="7"/>
      <c r="C318" s="7"/>
      <c r="D318" s="7"/>
      <c r="E318" s="7"/>
      <c r="F318" s="7"/>
      <c r="G318" s="8"/>
      <c r="H318" s="9"/>
      <c r="I318" s="9"/>
      <c r="J318" s="9"/>
      <c r="K318" s="7"/>
      <c r="L318" s="7"/>
      <c r="M318" s="9" t="str">
        <f aca="false">IF(AND(H318&lt;&gt;"",I318&lt;&gt;"",K318&lt;&gt;""),ABS(H318-I318)*K318,"")</f>
        <v/>
      </c>
      <c r="N318" s="9"/>
      <c r="O318" s="7"/>
      <c r="P318" s="9" t="str">
        <f aca="false">IF(N318&lt;&gt;"",(N318-H318)*K318*IF(E318="Buy",1,-1),"")</f>
        <v/>
      </c>
      <c r="Q318" s="10" t="str">
        <f aca="false">IF(AND(P318&lt;&gt;"",H318&lt;&gt;0,K318&lt;&gt;0),P318/(H318*K318),"")</f>
        <v/>
      </c>
      <c r="R318" s="11" t="str">
        <f aca="false">IF(AND(N318&lt;&gt;"",H318&lt;&gt;I318),IF(E318="Buy",(N318-H318)/(H318-I318),(H318-N318)/(I318-H318)),"")</f>
        <v/>
      </c>
      <c r="S318" s="7" t="str">
        <f aca="false">IF(D318="","",IF(N318&lt;&gt;"","Closed","Open"))</f>
        <v/>
      </c>
      <c r="T318" s="7"/>
    </row>
    <row r="319" customFormat="false" ht="15" hidden="false" customHeight="false" outlineLevel="0" collapsed="false">
      <c r="A319" s="7"/>
      <c r="B319" s="7"/>
      <c r="C319" s="7"/>
      <c r="D319" s="7"/>
      <c r="E319" s="7"/>
      <c r="F319" s="7"/>
      <c r="G319" s="8"/>
      <c r="H319" s="9"/>
      <c r="I319" s="9"/>
      <c r="J319" s="9"/>
      <c r="K319" s="7"/>
      <c r="L319" s="7"/>
      <c r="M319" s="9" t="str">
        <f aca="false">IF(AND(H319&lt;&gt;"",I319&lt;&gt;"",K319&lt;&gt;""),ABS(H319-I319)*K319,"")</f>
        <v/>
      </c>
      <c r="N319" s="9"/>
      <c r="O319" s="7"/>
      <c r="P319" s="9" t="str">
        <f aca="false">IF(N319&lt;&gt;"",(N319-H319)*K319*IF(E319="Buy",1,-1),"")</f>
        <v/>
      </c>
      <c r="Q319" s="10" t="str">
        <f aca="false">IF(AND(P319&lt;&gt;"",H319&lt;&gt;0,K319&lt;&gt;0),P319/(H319*K319),"")</f>
        <v/>
      </c>
      <c r="R319" s="11" t="str">
        <f aca="false">IF(AND(N319&lt;&gt;"",H319&lt;&gt;I319),IF(E319="Buy",(N319-H319)/(H319-I319),(H319-N319)/(I319-H319)),"")</f>
        <v/>
      </c>
      <c r="S319" s="7" t="str">
        <f aca="false">IF(D319="","",IF(N319&lt;&gt;"","Closed","Open"))</f>
        <v/>
      </c>
      <c r="T319" s="7"/>
    </row>
    <row r="320" customFormat="false" ht="15" hidden="false" customHeight="false" outlineLevel="0" collapsed="false">
      <c r="A320" s="7"/>
      <c r="B320" s="7"/>
      <c r="C320" s="7"/>
      <c r="D320" s="7"/>
      <c r="E320" s="7"/>
      <c r="F320" s="7"/>
      <c r="G320" s="8"/>
      <c r="H320" s="9"/>
      <c r="I320" s="9"/>
      <c r="J320" s="9"/>
      <c r="K320" s="7"/>
      <c r="L320" s="7"/>
      <c r="M320" s="9" t="str">
        <f aca="false">IF(AND(H320&lt;&gt;"",I320&lt;&gt;"",K320&lt;&gt;""),ABS(H320-I320)*K320,"")</f>
        <v/>
      </c>
      <c r="N320" s="9"/>
      <c r="O320" s="7"/>
      <c r="P320" s="9" t="str">
        <f aca="false">IF(N320&lt;&gt;"",(N320-H320)*K320*IF(E320="Buy",1,-1),"")</f>
        <v/>
      </c>
      <c r="Q320" s="10" t="str">
        <f aca="false">IF(AND(P320&lt;&gt;"",H320&lt;&gt;0,K320&lt;&gt;0),P320/(H320*K320),"")</f>
        <v/>
      </c>
      <c r="R320" s="11" t="str">
        <f aca="false">IF(AND(N320&lt;&gt;"",H320&lt;&gt;I320),IF(E320="Buy",(N320-H320)/(H320-I320),(H320-N320)/(I320-H320)),"")</f>
        <v/>
      </c>
      <c r="S320" s="7" t="str">
        <f aca="false">IF(D320="","",IF(N320&lt;&gt;"","Closed","Open"))</f>
        <v/>
      </c>
      <c r="T320" s="7"/>
    </row>
    <row r="321" customFormat="false" ht="15" hidden="false" customHeight="false" outlineLevel="0" collapsed="false">
      <c r="A321" s="7"/>
      <c r="B321" s="7"/>
      <c r="C321" s="7"/>
      <c r="D321" s="7"/>
      <c r="E321" s="7"/>
      <c r="F321" s="7"/>
      <c r="G321" s="8"/>
      <c r="H321" s="9"/>
      <c r="I321" s="9"/>
      <c r="J321" s="9"/>
      <c r="K321" s="7"/>
      <c r="L321" s="7"/>
      <c r="M321" s="9" t="str">
        <f aca="false">IF(AND(H321&lt;&gt;"",I321&lt;&gt;"",K321&lt;&gt;""),ABS(H321-I321)*K321,"")</f>
        <v/>
      </c>
      <c r="N321" s="9"/>
      <c r="O321" s="7"/>
      <c r="P321" s="9" t="str">
        <f aca="false">IF(N321&lt;&gt;"",(N321-H321)*K321*IF(E321="Buy",1,-1),"")</f>
        <v/>
      </c>
      <c r="Q321" s="10" t="str">
        <f aca="false">IF(AND(P321&lt;&gt;"",H321&lt;&gt;0,K321&lt;&gt;0),P321/(H321*K321),"")</f>
        <v/>
      </c>
      <c r="R321" s="11" t="str">
        <f aca="false">IF(AND(N321&lt;&gt;"",H321&lt;&gt;I321),IF(E321="Buy",(N321-H321)/(H321-I321),(H321-N321)/(I321-H321)),"")</f>
        <v/>
      </c>
      <c r="S321" s="7" t="str">
        <f aca="false">IF(D321="","",IF(N321&lt;&gt;"","Closed","Open"))</f>
        <v/>
      </c>
      <c r="T321" s="7"/>
    </row>
    <row r="322" customFormat="false" ht="15" hidden="false" customHeight="false" outlineLevel="0" collapsed="false">
      <c r="A322" s="7"/>
      <c r="B322" s="7"/>
      <c r="C322" s="7"/>
      <c r="D322" s="7"/>
      <c r="E322" s="7"/>
      <c r="F322" s="7"/>
      <c r="G322" s="8"/>
      <c r="H322" s="9"/>
      <c r="I322" s="9"/>
      <c r="J322" s="9"/>
      <c r="K322" s="7"/>
      <c r="L322" s="7"/>
      <c r="M322" s="9" t="str">
        <f aca="false">IF(AND(H322&lt;&gt;"",I322&lt;&gt;"",K322&lt;&gt;""),ABS(H322-I322)*K322,"")</f>
        <v/>
      </c>
      <c r="N322" s="9"/>
      <c r="O322" s="7"/>
      <c r="P322" s="9" t="str">
        <f aca="false">IF(N322&lt;&gt;"",(N322-H322)*K322*IF(E322="Buy",1,-1),"")</f>
        <v/>
      </c>
      <c r="Q322" s="10" t="str">
        <f aca="false">IF(AND(P322&lt;&gt;"",H322&lt;&gt;0,K322&lt;&gt;0),P322/(H322*K322),"")</f>
        <v/>
      </c>
      <c r="R322" s="11" t="str">
        <f aca="false">IF(AND(N322&lt;&gt;"",H322&lt;&gt;I322),IF(E322="Buy",(N322-H322)/(H322-I322),(H322-N322)/(I322-H322)),"")</f>
        <v/>
      </c>
      <c r="S322" s="7" t="str">
        <f aca="false">IF(D322="","",IF(N322&lt;&gt;"","Closed","Open"))</f>
        <v/>
      </c>
      <c r="T322" s="7"/>
    </row>
    <row r="323" customFormat="false" ht="15" hidden="false" customHeight="false" outlineLevel="0" collapsed="false">
      <c r="A323" s="7"/>
      <c r="B323" s="7"/>
      <c r="C323" s="7"/>
      <c r="D323" s="7"/>
      <c r="E323" s="7"/>
      <c r="F323" s="7"/>
      <c r="G323" s="8"/>
      <c r="H323" s="9"/>
      <c r="I323" s="9"/>
      <c r="J323" s="9"/>
      <c r="K323" s="7"/>
      <c r="L323" s="7"/>
      <c r="M323" s="9" t="str">
        <f aca="false">IF(AND(H323&lt;&gt;"",I323&lt;&gt;"",K323&lt;&gt;""),ABS(H323-I323)*K323,"")</f>
        <v/>
      </c>
      <c r="N323" s="9"/>
      <c r="O323" s="7"/>
      <c r="P323" s="9" t="str">
        <f aca="false">IF(N323&lt;&gt;"",(N323-H323)*K323*IF(E323="Buy",1,-1),"")</f>
        <v/>
      </c>
      <c r="Q323" s="10" t="str">
        <f aca="false">IF(AND(P323&lt;&gt;"",H323&lt;&gt;0,K323&lt;&gt;0),P323/(H323*K323),"")</f>
        <v/>
      </c>
      <c r="R323" s="11" t="str">
        <f aca="false">IF(AND(N323&lt;&gt;"",H323&lt;&gt;I323),IF(E323="Buy",(N323-H323)/(H323-I323),(H323-N323)/(I323-H323)),"")</f>
        <v/>
      </c>
      <c r="S323" s="7" t="str">
        <f aca="false">IF(D323="","",IF(N323&lt;&gt;"","Closed","Open"))</f>
        <v/>
      </c>
      <c r="T323" s="7"/>
    </row>
    <row r="324" customFormat="false" ht="15" hidden="false" customHeight="false" outlineLevel="0" collapsed="false">
      <c r="A324" s="7"/>
      <c r="B324" s="7"/>
      <c r="C324" s="7"/>
      <c r="D324" s="7"/>
      <c r="E324" s="7"/>
      <c r="F324" s="7"/>
      <c r="G324" s="8"/>
      <c r="H324" s="9"/>
      <c r="I324" s="9"/>
      <c r="J324" s="9"/>
      <c r="K324" s="7"/>
      <c r="L324" s="7"/>
      <c r="M324" s="9" t="str">
        <f aca="false">IF(AND(H324&lt;&gt;"",I324&lt;&gt;"",K324&lt;&gt;""),ABS(H324-I324)*K324,"")</f>
        <v/>
      </c>
      <c r="N324" s="9"/>
      <c r="O324" s="7"/>
      <c r="P324" s="9" t="str">
        <f aca="false">IF(N324&lt;&gt;"",(N324-H324)*K324*IF(E324="Buy",1,-1),"")</f>
        <v/>
      </c>
      <c r="Q324" s="10" t="str">
        <f aca="false">IF(AND(P324&lt;&gt;"",H324&lt;&gt;0,K324&lt;&gt;0),P324/(H324*K324),"")</f>
        <v/>
      </c>
      <c r="R324" s="11" t="str">
        <f aca="false">IF(AND(N324&lt;&gt;"",H324&lt;&gt;I324),IF(E324="Buy",(N324-H324)/(H324-I324),(H324-N324)/(I324-H324)),"")</f>
        <v/>
      </c>
      <c r="S324" s="7" t="str">
        <f aca="false">IF(D324="","",IF(N324&lt;&gt;"","Closed","Open"))</f>
        <v/>
      </c>
      <c r="T324" s="7"/>
    </row>
    <row r="325" customFormat="false" ht="15" hidden="false" customHeight="false" outlineLevel="0" collapsed="false">
      <c r="A325" s="7"/>
      <c r="B325" s="7"/>
      <c r="C325" s="7"/>
      <c r="D325" s="7"/>
      <c r="E325" s="7"/>
      <c r="F325" s="7"/>
      <c r="G325" s="8"/>
      <c r="H325" s="9"/>
      <c r="I325" s="9"/>
      <c r="J325" s="9"/>
      <c r="K325" s="7"/>
      <c r="L325" s="7"/>
      <c r="M325" s="9" t="str">
        <f aca="false">IF(AND(H325&lt;&gt;"",I325&lt;&gt;"",K325&lt;&gt;""),ABS(H325-I325)*K325,"")</f>
        <v/>
      </c>
      <c r="N325" s="9"/>
      <c r="O325" s="7"/>
      <c r="P325" s="9" t="str">
        <f aca="false">IF(N325&lt;&gt;"",(N325-H325)*K325*IF(E325="Buy",1,-1),"")</f>
        <v/>
      </c>
      <c r="Q325" s="10" t="str">
        <f aca="false">IF(AND(P325&lt;&gt;"",H325&lt;&gt;0,K325&lt;&gt;0),P325/(H325*K325),"")</f>
        <v/>
      </c>
      <c r="R325" s="11" t="str">
        <f aca="false">IF(AND(N325&lt;&gt;"",H325&lt;&gt;I325),IF(E325="Buy",(N325-H325)/(H325-I325),(H325-N325)/(I325-H325)),"")</f>
        <v/>
      </c>
      <c r="S325" s="7" t="str">
        <f aca="false">IF(D325="","",IF(N325&lt;&gt;"","Closed","Open"))</f>
        <v/>
      </c>
      <c r="T325" s="7"/>
    </row>
    <row r="326" customFormat="false" ht="15" hidden="false" customHeight="false" outlineLevel="0" collapsed="false">
      <c r="A326" s="7"/>
      <c r="B326" s="7"/>
      <c r="C326" s="7"/>
      <c r="D326" s="7"/>
      <c r="E326" s="7"/>
      <c r="F326" s="7"/>
      <c r="G326" s="8"/>
      <c r="H326" s="9"/>
      <c r="I326" s="9"/>
      <c r="J326" s="9"/>
      <c r="K326" s="7"/>
      <c r="L326" s="7"/>
      <c r="M326" s="9" t="str">
        <f aca="false">IF(AND(H326&lt;&gt;"",I326&lt;&gt;"",K326&lt;&gt;""),ABS(H326-I326)*K326,"")</f>
        <v/>
      </c>
      <c r="N326" s="9"/>
      <c r="O326" s="7"/>
      <c r="P326" s="9" t="str">
        <f aca="false">IF(N326&lt;&gt;"",(N326-H326)*K326*IF(E326="Buy",1,-1),"")</f>
        <v/>
      </c>
      <c r="Q326" s="10" t="str">
        <f aca="false">IF(AND(P326&lt;&gt;"",H326&lt;&gt;0,K326&lt;&gt;0),P326/(H326*K326),"")</f>
        <v/>
      </c>
      <c r="R326" s="11" t="str">
        <f aca="false">IF(AND(N326&lt;&gt;"",H326&lt;&gt;I326),IF(E326="Buy",(N326-H326)/(H326-I326),(H326-N326)/(I326-H326)),"")</f>
        <v/>
      </c>
      <c r="S326" s="7" t="str">
        <f aca="false">IF(D326="","",IF(N326&lt;&gt;"","Closed","Open"))</f>
        <v/>
      </c>
      <c r="T326" s="7"/>
    </row>
    <row r="327" customFormat="false" ht="15" hidden="false" customHeight="false" outlineLevel="0" collapsed="false">
      <c r="A327" s="7"/>
      <c r="B327" s="7"/>
      <c r="C327" s="7"/>
      <c r="D327" s="7"/>
      <c r="E327" s="7"/>
      <c r="F327" s="7"/>
      <c r="G327" s="8"/>
      <c r="H327" s="9"/>
      <c r="I327" s="9"/>
      <c r="J327" s="9"/>
      <c r="K327" s="7"/>
      <c r="L327" s="7"/>
      <c r="M327" s="9" t="str">
        <f aca="false">IF(AND(H327&lt;&gt;"",I327&lt;&gt;"",K327&lt;&gt;""),ABS(H327-I327)*K327,"")</f>
        <v/>
      </c>
      <c r="N327" s="9"/>
      <c r="O327" s="7"/>
      <c r="P327" s="9" t="str">
        <f aca="false">IF(N327&lt;&gt;"",(N327-H327)*K327*IF(E327="Buy",1,-1),"")</f>
        <v/>
      </c>
      <c r="Q327" s="10" t="str">
        <f aca="false">IF(AND(P327&lt;&gt;"",H327&lt;&gt;0,K327&lt;&gt;0),P327/(H327*K327),"")</f>
        <v/>
      </c>
      <c r="R327" s="11" t="str">
        <f aca="false">IF(AND(N327&lt;&gt;"",H327&lt;&gt;I327),IF(E327="Buy",(N327-H327)/(H327-I327),(H327-N327)/(I327-H327)),"")</f>
        <v/>
      </c>
      <c r="S327" s="7" t="str">
        <f aca="false">IF(D327="","",IF(N327&lt;&gt;"","Closed","Open"))</f>
        <v/>
      </c>
      <c r="T327" s="7"/>
    </row>
    <row r="328" customFormat="false" ht="15" hidden="false" customHeight="false" outlineLevel="0" collapsed="false">
      <c r="A328" s="7"/>
      <c r="B328" s="7"/>
      <c r="C328" s="7"/>
      <c r="D328" s="7"/>
      <c r="E328" s="7"/>
      <c r="F328" s="7"/>
      <c r="G328" s="8"/>
      <c r="H328" s="9"/>
      <c r="I328" s="9"/>
      <c r="J328" s="9"/>
      <c r="K328" s="7"/>
      <c r="L328" s="7"/>
      <c r="M328" s="9" t="str">
        <f aca="false">IF(AND(H328&lt;&gt;"",I328&lt;&gt;"",K328&lt;&gt;""),ABS(H328-I328)*K328,"")</f>
        <v/>
      </c>
      <c r="N328" s="9"/>
      <c r="O328" s="7"/>
      <c r="P328" s="9" t="str">
        <f aca="false">IF(N328&lt;&gt;"",(N328-H328)*K328*IF(E328="Buy",1,-1),"")</f>
        <v/>
      </c>
      <c r="Q328" s="10" t="str">
        <f aca="false">IF(AND(P328&lt;&gt;"",H328&lt;&gt;0,K328&lt;&gt;0),P328/(H328*K328),"")</f>
        <v/>
      </c>
      <c r="R328" s="11" t="str">
        <f aca="false">IF(AND(N328&lt;&gt;"",H328&lt;&gt;I328),IF(E328="Buy",(N328-H328)/(H328-I328),(H328-N328)/(I328-H328)),"")</f>
        <v/>
      </c>
      <c r="S328" s="7" t="str">
        <f aca="false">IF(D328="","",IF(N328&lt;&gt;"","Closed","Open"))</f>
        <v/>
      </c>
      <c r="T328" s="7"/>
    </row>
    <row r="329" customFormat="false" ht="15" hidden="false" customHeight="false" outlineLevel="0" collapsed="false">
      <c r="A329" s="7"/>
      <c r="B329" s="7"/>
      <c r="C329" s="7"/>
      <c r="D329" s="7"/>
      <c r="E329" s="7"/>
      <c r="F329" s="7"/>
      <c r="G329" s="8"/>
      <c r="H329" s="9"/>
      <c r="I329" s="9"/>
      <c r="J329" s="9"/>
      <c r="K329" s="7"/>
      <c r="L329" s="7"/>
      <c r="M329" s="9" t="str">
        <f aca="false">IF(AND(H329&lt;&gt;"",I329&lt;&gt;"",K329&lt;&gt;""),ABS(H329-I329)*K329,"")</f>
        <v/>
      </c>
      <c r="N329" s="9"/>
      <c r="O329" s="7"/>
      <c r="P329" s="9" t="str">
        <f aca="false">IF(N329&lt;&gt;"",(N329-H329)*K329*IF(E329="Buy",1,-1),"")</f>
        <v/>
      </c>
      <c r="Q329" s="10" t="str">
        <f aca="false">IF(AND(P329&lt;&gt;"",H329&lt;&gt;0,K329&lt;&gt;0),P329/(H329*K329),"")</f>
        <v/>
      </c>
      <c r="R329" s="11" t="str">
        <f aca="false">IF(AND(N329&lt;&gt;"",H329&lt;&gt;I329),IF(E329="Buy",(N329-H329)/(H329-I329),(H329-N329)/(I329-H329)),"")</f>
        <v/>
      </c>
      <c r="S329" s="7" t="str">
        <f aca="false">IF(D329="","",IF(N329&lt;&gt;"","Closed","Open"))</f>
        <v/>
      </c>
      <c r="T329" s="7"/>
    </row>
    <row r="330" customFormat="false" ht="15" hidden="false" customHeight="false" outlineLevel="0" collapsed="false">
      <c r="A330" s="7"/>
      <c r="B330" s="7"/>
      <c r="C330" s="7"/>
      <c r="D330" s="7"/>
      <c r="E330" s="7"/>
      <c r="F330" s="7"/>
      <c r="G330" s="8"/>
      <c r="H330" s="9"/>
      <c r="I330" s="9"/>
      <c r="J330" s="9"/>
      <c r="K330" s="7"/>
      <c r="L330" s="7"/>
      <c r="M330" s="9" t="str">
        <f aca="false">IF(AND(H330&lt;&gt;"",I330&lt;&gt;"",K330&lt;&gt;""),ABS(H330-I330)*K330,"")</f>
        <v/>
      </c>
      <c r="N330" s="9"/>
      <c r="O330" s="7"/>
      <c r="P330" s="9" t="str">
        <f aca="false">IF(N330&lt;&gt;"",(N330-H330)*K330*IF(E330="Buy",1,-1),"")</f>
        <v/>
      </c>
      <c r="Q330" s="10" t="str">
        <f aca="false">IF(AND(P330&lt;&gt;"",H330&lt;&gt;0,K330&lt;&gt;0),P330/(H330*K330),"")</f>
        <v/>
      </c>
      <c r="R330" s="11" t="str">
        <f aca="false">IF(AND(N330&lt;&gt;"",H330&lt;&gt;I330),IF(E330="Buy",(N330-H330)/(H330-I330),(H330-N330)/(I330-H330)),"")</f>
        <v/>
      </c>
      <c r="S330" s="7" t="str">
        <f aca="false">IF(D330="","",IF(N330&lt;&gt;"","Closed","Open"))</f>
        <v/>
      </c>
      <c r="T330" s="7"/>
    </row>
    <row r="331" customFormat="false" ht="15" hidden="false" customHeight="false" outlineLevel="0" collapsed="false">
      <c r="A331" s="7"/>
      <c r="B331" s="7"/>
      <c r="C331" s="7"/>
      <c r="D331" s="7"/>
      <c r="E331" s="7"/>
      <c r="F331" s="7"/>
      <c r="G331" s="8"/>
      <c r="H331" s="9"/>
      <c r="I331" s="9"/>
      <c r="J331" s="9"/>
      <c r="K331" s="7"/>
      <c r="L331" s="7"/>
      <c r="M331" s="9" t="str">
        <f aca="false">IF(AND(H331&lt;&gt;"",I331&lt;&gt;"",K331&lt;&gt;""),ABS(H331-I331)*K331,"")</f>
        <v/>
      </c>
      <c r="N331" s="9"/>
      <c r="O331" s="7"/>
      <c r="P331" s="9" t="str">
        <f aca="false">IF(N331&lt;&gt;"",(N331-H331)*K331*IF(E331="Buy",1,-1),"")</f>
        <v/>
      </c>
      <c r="Q331" s="10" t="str">
        <f aca="false">IF(AND(P331&lt;&gt;"",H331&lt;&gt;0,K331&lt;&gt;0),P331/(H331*K331),"")</f>
        <v/>
      </c>
      <c r="R331" s="11" t="str">
        <f aca="false">IF(AND(N331&lt;&gt;"",H331&lt;&gt;I331),IF(E331="Buy",(N331-H331)/(H331-I331),(H331-N331)/(I331-H331)),"")</f>
        <v/>
      </c>
      <c r="S331" s="7" t="str">
        <f aca="false">IF(D331="","",IF(N331&lt;&gt;"","Closed","Open"))</f>
        <v/>
      </c>
      <c r="T331" s="7"/>
    </row>
    <row r="332" customFormat="false" ht="15" hidden="false" customHeight="false" outlineLevel="0" collapsed="false">
      <c r="A332" s="7"/>
      <c r="B332" s="7"/>
      <c r="C332" s="7"/>
      <c r="D332" s="7"/>
      <c r="E332" s="7"/>
      <c r="F332" s="7"/>
      <c r="G332" s="8"/>
      <c r="H332" s="9"/>
      <c r="I332" s="9"/>
      <c r="J332" s="9"/>
      <c r="K332" s="7"/>
      <c r="L332" s="7"/>
      <c r="M332" s="9" t="str">
        <f aca="false">IF(AND(H332&lt;&gt;"",I332&lt;&gt;"",K332&lt;&gt;""),ABS(H332-I332)*K332,"")</f>
        <v/>
      </c>
      <c r="N332" s="9"/>
      <c r="O332" s="7"/>
      <c r="P332" s="9" t="str">
        <f aca="false">IF(N332&lt;&gt;"",(N332-H332)*K332*IF(E332="Buy",1,-1),"")</f>
        <v/>
      </c>
      <c r="Q332" s="10" t="str">
        <f aca="false">IF(AND(P332&lt;&gt;"",H332&lt;&gt;0,K332&lt;&gt;0),P332/(H332*K332),"")</f>
        <v/>
      </c>
      <c r="R332" s="11" t="str">
        <f aca="false">IF(AND(N332&lt;&gt;"",H332&lt;&gt;I332),IF(E332="Buy",(N332-H332)/(H332-I332),(H332-N332)/(I332-H332)),"")</f>
        <v/>
      </c>
      <c r="S332" s="7" t="str">
        <f aca="false">IF(D332="","",IF(N332&lt;&gt;"","Closed","Open"))</f>
        <v/>
      </c>
      <c r="T332" s="7"/>
    </row>
    <row r="333" customFormat="false" ht="15" hidden="false" customHeight="false" outlineLevel="0" collapsed="false">
      <c r="A333" s="7"/>
      <c r="B333" s="7"/>
      <c r="C333" s="7"/>
      <c r="D333" s="7"/>
      <c r="E333" s="7"/>
      <c r="F333" s="7"/>
      <c r="G333" s="8"/>
      <c r="H333" s="9"/>
      <c r="I333" s="9"/>
      <c r="J333" s="9"/>
      <c r="K333" s="7"/>
      <c r="L333" s="7"/>
      <c r="M333" s="9" t="str">
        <f aca="false">IF(AND(H333&lt;&gt;"",I333&lt;&gt;"",K333&lt;&gt;""),ABS(H333-I333)*K333,"")</f>
        <v/>
      </c>
      <c r="N333" s="9"/>
      <c r="O333" s="7"/>
      <c r="P333" s="9" t="str">
        <f aca="false">IF(N333&lt;&gt;"",(N333-H333)*K333*IF(E333="Buy",1,-1),"")</f>
        <v/>
      </c>
      <c r="Q333" s="10" t="str">
        <f aca="false">IF(AND(P333&lt;&gt;"",H333&lt;&gt;0,K333&lt;&gt;0),P333/(H333*K333),"")</f>
        <v/>
      </c>
      <c r="R333" s="11" t="str">
        <f aca="false">IF(AND(N333&lt;&gt;"",H333&lt;&gt;I333),IF(E333="Buy",(N333-H333)/(H333-I333),(H333-N333)/(I333-H333)),"")</f>
        <v/>
      </c>
      <c r="S333" s="7" t="str">
        <f aca="false">IF(D333="","",IF(N333&lt;&gt;"","Closed","Open"))</f>
        <v/>
      </c>
      <c r="T333" s="7"/>
    </row>
    <row r="334" customFormat="false" ht="15" hidden="false" customHeight="false" outlineLevel="0" collapsed="false">
      <c r="A334" s="7"/>
      <c r="B334" s="7"/>
      <c r="C334" s="7"/>
      <c r="D334" s="7"/>
      <c r="E334" s="7"/>
      <c r="F334" s="7"/>
      <c r="G334" s="8"/>
      <c r="H334" s="9"/>
      <c r="I334" s="9"/>
      <c r="J334" s="9"/>
      <c r="K334" s="7"/>
      <c r="L334" s="7"/>
      <c r="M334" s="9" t="str">
        <f aca="false">IF(AND(H334&lt;&gt;"",I334&lt;&gt;"",K334&lt;&gt;""),ABS(H334-I334)*K334,"")</f>
        <v/>
      </c>
      <c r="N334" s="9"/>
      <c r="O334" s="7"/>
      <c r="P334" s="9" t="str">
        <f aca="false">IF(N334&lt;&gt;"",(N334-H334)*K334*IF(E334="Buy",1,-1),"")</f>
        <v/>
      </c>
      <c r="Q334" s="10" t="str">
        <f aca="false">IF(AND(P334&lt;&gt;"",H334&lt;&gt;0,K334&lt;&gt;0),P334/(H334*K334),"")</f>
        <v/>
      </c>
      <c r="R334" s="11" t="str">
        <f aca="false">IF(AND(N334&lt;&gt;"",H334&lt;&gt;I334),IF(E334="Buy",(N334-H334)/(H334-I334),(H334-N334)/(I334-H334)),"")</f>
        <v/>
      </c>
      <c r="S334" s="7" t="str">
        <f aca="false">IF(D334="","",IF(N334&lt;&gt;"","Closed","Open"))</f>
        <v/>
      </c>
      <c r="T334" s="7"/>
    </row>
    <row r="335" customFormat="false" ht="15" hidden="false" customHeight="false" outlineLevel="0" collapsed="false">
      <c r="A335" s="7"/>
      <c r="B335" s="7"/>
      <c r="C335" s="7"/>
      <c r="D335" s="7"/>
      <c r="E335" s="7"/>
      <c r="F335" s="7"/>
      <c r="G335" s="8"/>
      <c r="H335" s="9"/>
      <c r="I335" s="9"/>
      <c r="J335" s="9"/>
      <c r="K335" s="7"/>
      <c r="L335" s="7"/>
      <c r="M335" s="9" t="str">
        <f aca="false">IF(AND(H335&lt;&gt;"",I335&lt;&gt;"",K335&lt;&gt;""),ABS(H335-I335)*K335,"")</f>
        <v/>
      </c>
      <c r="N335" s="9"/>
      <c r="O335" s="7"/>
      <c r="P335" s="9" t="str">
        <f aca="false">IF(N335&lt;&gt;"",(N335-H335)*K335*IF(E335="Buy",1,-1),"")</f>
        <v/>
      </c>
      <c r="Q335" s="10" t="str">
        <f aca="false">IF(AND(P335&lt;&gt;"",H335&lt;&gt;0,K335&lt;&gt;0),P335/(H335*K335),"")</f>
        <v/>
      </c>
      <c r="R335" s="11" t="str">
        <f aca="false">IF(AND(N335&lt;&gt;"",H335&lt;&gt;I335),IF(E335="Buy",(N335-H335)/(H335-I335),(H335-N335)/(I335-H335)),"")</f>
        <v/>
      </c>
      <c r="S335" s="7" t="str">
        <f aca="false">IF(D335="","",IF(N335&lt;&gt;"","Closed","Open"))</f>
        <v/>
      </c>
      <c r="T335" s="7"/>
    </row>
    <row r="336" customFormat="false" ht="15" hidden="false" customHeight="false" outlineLevel="0" collapsed="false">
      <c r="A336" s="7"/>
      <c r="B336" s="7"/>
      <c r="C336" s="7"/>
      <c r="D336" s="7"/>
      <c r="E336" s="7"/>
      <c r="F336" s="7"/>
      <c r="G336" s="8"/>
      <c r="H336" s="9"/>
      <c r="I336" s="9"/>
      <c r="J336" s="9"/>
      <c r="K336" s="7"/>
      <c r="L336" s="7"/>
      <c r="M336" s="9" t="str">
        <f aca="false">IF(AND(H336&lt;&gt;"",I336&lt;&gt;"",K336&lt;&gt;""),ABS(H336-I336)*K336,"")</f>
        <v/>
      </c>
      <c r="N336" s="9"/>
      <c r="O336" s="7"/>
      <c r="P336" s="9" t="str">
        <f aca="false">IF(N336&lt;&gt;"",(N336-H336)*K336*IF(E336="Buy",1,-1),"")</f>
        <v/>
      </c>
      <c r="Q336" s="10" t="str">
        <f aca="false">IF(AND(P336&lt;&gt;"",H336&lt;&gt;0,K336&lt;&gt;0),P336/(H336*K336),"")</f>
        <v/>
      </c>
      <c r="R336" s="11" t="str">
        <f aca="false">IF(AND(N336&lt;&gt;"",H336&lt;&gt;I336),IF(E336="Buy",(N336-H336)/(H336-I336),(H336-N336)/(I336-H336)),"")</f>
        <v/>
      </c>
      <c r="S336" s="7" t="str">
        <f aca="false">IF(D336="","",IF(N336&lt;&gt;"","Closed","Open"))</f>
        <v/>
      </c>
      <c r="T336" s="7"/>
    </row>
    <row r="337" customFormat="false" ht="15" hidden="false" customHeight="false" outlineLevel="0" collapsed="false">
      <c r="A337" s="7"/>
      <c r="B337" s="7"/>
      <c r="C337" s="7"/>
      <c r="D337" s="7"/>
      <c r="E337" s="7"/>
      <c r="F337" s="7"/>
      <c r="G337" s="8"/>
      <c r="H337" s="9"/>
      <c r="I337" s="9"/>
      <c r="J337" s="9"/>
      <c r="K337" s="7"/>
      <c r="L337" s="7"/>
      <c r="M337" s="9" t="str">
        <f aca="false">IF(AND(H337&lt;&gt;"",I337&lt;&gt;"",K337&lt;&gt;""),ABS(H337-I337)*K337,"")</f>
        <v/>
      </c>
      <c r="N337" s="9"/>
      <c r="O337" s="7"/>
      <c r="P337" s="9" t="str">
        <f aca="false">IF(N337&lt;&gt;"",(N337-H337)*K337*IF(E337="Buy",1,-1),"")</f>
        <v/>
      </c>
      <c r="Q337" s="10" t="str">
        <f aca="false">IF(AND(P337&lt;&gt;"",H337&lt;&gt;0,K337&lt;&gt;0),P337/(H337*K337),"")</f>
        <v/>
      </c>
      <c r="R337" s="11" t="str">
        <f aca="false">IF(AND(N337&lt;&gt;"",H337&lt;&gt;I337),IF(E337="Buy",(N337-H337)/(H337-I337),(H337-N337)/(I337-H337)),"")</f>
        <v/>
      </c>
      <c r="S337" s="7" t="str">
        <f aca="false">IF(D337="","",IF(N337&lt;&gt;"","Closed","Open"))</f>
        <v/>
      </c>
      <c r="T337" s="7"/>
    </row>
    <row r="338" customFormat="false" ht="15" hidden="false" customHeight="false" outlineLevel="0" collapsed="false">
      <c r="A338" s="7"/>
      <c r="B338" s="7"/>
      <c r="C338" s="7"/>
      <c r="D338" s="7"/>
      <c r="E338" s="7"/>
      <c r="F338" s="7"/>
      <c r="G338" s="8"/>
      <c r="H338" s="9"/>
      <c r="I338" s="9"/>
      <c r="J338" s="9"/>
      <c r="K338" s="7"/>
      <c r="L338" s="7"/>
      <c r="M338" s="9" t="str">
        <f aca="false">IF(AND(H338&lt;&gt;"",I338&lt;&gt;"",K338&lt;&gt;""),ABS(H338-I338)*K338,"")</f>
        <v/>
      </c>
      <c r="N338" s="9"/>
      <c r="O338" s="7"/>
      <c r="P338" s="9" t="str">
        <f aca="false">IF(N338&lt;&gt;"",(N338-H338)*K338*IF(E338="Buy",1,-1),"")</f>
        <v/>
      </c>
      <c r="Q338" s="10" t="str">
        <f aca="false">IF(AND(P338&lt;&gt;"",H338&lt;&gt;0,K338&lt;&gt;0),P338/(H338*K338),"")</f>
        <v/>
      </c>
      <c r="R338" s="11" t="str">
        <f aca="false">IF(AND(N338&lt;&gt;"",H338&lt;&gt;I338),IF(E338="Buy",(N338-H338)/(H338-I338),(H338-N338)/(I338-H338)),"")</f>
        <v/>
      </c>
      <c r="S338" s="7" t="str">
        <f aca="false">IF(D338="","",IF(N338&lt;&gt;"","Closed","Open"))</f>
        <v/>
      </c>
      <c r="T338" s="7"/>
    </row>
    <row r="339" customFormat="false" ht="15" hidden="false" customHeight="false" outlineLevel="0" collapsed="false">
      <c r="A339" s="7"/>
      <c r="B339" s="7"/>
      <c r="C339" s="7"/>
      <c r="D339" s="7"/>
      <c r="E339" s="7"/>
      <c r="F339" s="7"/>
      <c r="G339" s="8"/>
      <c r="H339" s="9"/>
      <c r="I339" s="9"/>
      <c r="J339" s="9"/>
      <c r="K339" s="7"/>
      <c r="L339" s="7"/>
      <c r="M339" s="9" t="str">
        <f aca="false">IF(AND(H339&lt;&gt;"",I339&lt;&gt;"",K339&lt;&gt;""),ABS(H339-I339)*K339,"")</f>
        <v/>
      </c>
      <c r="N339" s="9"/>
      <c r="O339" s="7"/>
      <c r="P339" s="9" t="str">
        <f aca="false">IF(N339&lt;&gt;"",(N339-H339)*K339*IF(E339="Buy",1,-1),"")</f>
        <v/>
      </c>
      <c r="Q339" s="10" t="str">
        <f aca="false">IF(AND(P339&lt;&gt;"",H339&lt;&gt;0,K339&lt;&gt;0),P339/(H339*K339),"")</f>
        <v/>
      </c>
      <c r="R339" s="11" t="str">
        <f aca="false">IF(AND(N339&lt;&gt;"",H339&lt;&gt;I339),IF(E339="Buy",(N339-H339)/(H339-I339),(H339-N339)/(I339-H339)),"")</f>
        <v/>
      </c>
      <c r="S339" s="7" t="str">
        <f aca="false">IF(D339="","",IF(N339&lt;&gt;"","Closed","Open"))</f>
        <v/>
      </c>
      <c r="T339" s="7"/>
    </row>
    <row r="340" customFormat="false" ht="15" hidden="false" customHeight="false" outlineLevel="0" collapsed="false">
      <c r="A340" s="7"/>
      <c r="B340" s="7"/>
      <c r="C340" s="7"/>
      <c r="D340" s="7"/>
      <c r="E340" s="7"/>
      <c r="F340" s="7"/>
      <c r="G340" s="8"/>
      <c r="H340" s="9"/>
      <c r="I340" s="9"/>
      <c r="J340" s="9"/>
      <c r="K340" s="7"/>
      <c r="L340" s="7"/>
      <c r="M340" s="9" t="str">
        <f aca="false">IF(AND(H340&lt;&gt;"",I340&lt;&gt;"",K340&lt;&gt;""),ABS(H340-I340)*K340,"")</f>
        <v/>
      </c>
      <c r="N340" s="9"/>
      <c r="O340" s="7"/>
      <c r="P340" s="9" t="str">
        <f aca="false">IF(N340&lt;&gt;"",(N340-H340)*K340*IF(E340="Buy",1,-1),"")</f>
        <v/>
      </c>
      <c r="Q340" s="10" t="str">
        <f aca="false">IF(AND(P340&lt;&gt;"",H340&lt;&gt;0,K340&lt;&gt;0),P340/(H340*K340),"")</f>
        <v/>
      </c>
      <c r="R340" s="11" t="str">
        <f aca="false">IF(AND(N340&lt;&gt;"",H340&lt;&gt;I340),IF(E340="Buy",(N340-H340)/(H340-I340),(H340-N340)/(I340-H340)),"")</f>
        <v/>
      </c>
      <c r="S340" s="7" t="str">
        <f aca="false">IF(D340="","",IF(N340&lt;&gt;"","Closed","Open"))</f>
        <v/>
      </c>
      <c r="T340" s="7"/>
    </row>
    <row r="341" customFormat="false" ht="15" hidden="false" customHeight="false" outlineLevel="0" collapsed="false">
      <c r="A341" s="7"/>
      <c r="B341" s="7"/>
      <c r="C341" s="7"/>
      <c r="D341" s="7"/>
      <c r="E341" s="7"/>
      <c r="F341" s="7"/>
      <c r="G341" s="8"/>
      <c r="H341" s="9"/>
      <c r="I341" s="9"/>
      <c r="J341" s="9"/>
      <c r="K341" s="7"/>
      <c r="L341" s="7"/>
      <c r="M341" s="9" t="str">
        <f aca="false">IF(AND(H341&lt;&gt;"",I341&lt;&gt;"",K341&lt;&gt;""),ABS(H341-I341)*K341,"")</f>
        <v/>
      </c>
      <c r="N341" s="9"/>
      <c r="O341" s="7"/>
      <c r="P341" s="9" t="str">
        <f aca="false">IF(N341&lt;&gt;"",(N341-H341)*K341*IF(E341="Buy",1,-1),"")</f>
        <v/>
      </c>
      <c r="Q341" s="10" t="str">
        <f aca="false">IF(AND(P341&lt;&gt;"",H341&lt;&gt;0,K341&lt;&gt;0),P341/(H341*K341),"")</f>
        <v/>
      </c>
      <c r="R341" s="11" t="str">
        <f aca="false">IF(AND(N341&lt;&gt;"",H341&lt;&gt;I341),IF(E341="Buy",(N341-H341)/(H341-I341),(H341-N341)/(I341-H341)),"")</f>
        <v/>
      </c>
      <c r="S341" s="7" t="str">
        <f aca="false">IF(D341="","",IF(N341&lt;&gt;"","Closed","Open"))</f>
        <v/>
      </c>
      <c r="T341" s="7"/>
    </row>
    <row r="342" customFormat="false" ht="15" hidden="false" customHeight="false" outlineLevel="0" collapsed="false">
      <c r="A342" s="7"/>
      <c r="B342" s="7"/>
      <c r="C342" s="7"/>
      <c r="D342" s="7"/>
      <c r="E342" s="7"/>
      <c r="F342" s="7"/>
      <c r="G342" s="8"/>
      <c r="H342" s="9"/>
      <c r="I342" s="9"/>
      <c r="J342" s="9"/>
      <c r="K342" s="7"/>
      <c r="L342" s="7"/>
      <c r="M342" s="9" t="str">
        <f aca="false">IF(AND(H342&lt;&gt;"",I342&lt;&gt;"",K342&lt;&gt;""),ABS(H342-I342)*K342,"")</f>
        <v/>
      </c>
      <c r="N342" s="9"/>
      <c r="O342" s="7"/>
      <c r="P342" s="9" t="str">
        <f aca="false">IF(N342&lt;&gt;"",(N342-H342)*K342*IF(E342="Buy",1,-1),"")</f>
        <v/>
      </c>
      <c r="Q342" s="10" t="str">
        <f aca="false">IF(AND(P342&lt;&gt;"",H342&lt;&gt;0,K342&lt;&gt;0),P342/(H342*K342),"")</f>
        <v/>
      </c>
      <c r="R342" s="11" t="str">
        <f aca="false">IF(AND(N342&lt;&gt;"",H342&lt;&gt;I342),IF(E342="Buy",(N342-H342)/(H342-I342),(H342-N342)/(I342-H342)),"")</f>
        <v/>
      </c>
      <c r="S342" s="7" t="str">
        <f aca="false">IF(D342="","",IF(N342&lt;&gt;"","Closed","Open"))</f>
        <v/>
      </c>
      <c r="T342" s="7"/>
    </row>
    <row r="343" customFormat="false" ht="15" hidden="false" customHeight="false" outlineLevel="0" collapsed="false">
      <c r="A343" s="7"/>
      <c r="B343" s="7"/>
      <c r="C343" s="7"/>
      <c r="D343" s="7"/>
      <c r="E343" s="7"/>
      <c r="F343" s="7"/>
      <c r="G343" s="8"/>
      <c r="H343" s="9"/>
      <c r="I343" s="9"/>
      <c r="J343" s="9"/>
      <c r="K343" s="7"/>
      <c r="L343" s="7"/>
      <c r="M343" s="9" t="str">
        <f aca="false">IF(AND(H343&lt;&gt;"",I343&lt;&gt;"",K343&lt;&gt;""),ABS(H343-I343)*K343,"")</f>
        <v/>
      </c>
      <c r="N343" s="9"/>
      <c r="O343" s="7"/>
      <c r="P343" s="9" t="str">
        <f aca="false">IF(N343&lt;&gt;"",(N343-H343)*K343*IF(E343="Buy",1,-1),"")</f>
        <v/>
      </c>
      <c r="Q343" s="10" t="str">
        <f aca="false">IF(AND(P343&lt;&gt;"",H343&lt;&gt;0,K343&lt;&gt;0),P343/(H343*K343),"")</f>
        <v/>
      </c>
      <c r="R343" s="11" t="str">
        <f aca="false">IF(AND(N343&lt;&gt;"",H343&lt;&gt;I343),IF(E343="Buy",(N343-H343)/(H343-I343),(H343-N343)/(I343-H343)),"")</f>
        <v/>
      </c>
      <c r="S343" s="7" t="str">
        <f aca="false">IF(D343="","",IF(N343&lt;&gt;"","Closed","Open"))</f>
        <v/>
      </c>
      <c r="T343" s="7"/>
    </row>
    <row r="344" customFormat="false" ht="15" hidden="false" customHeight="false" outlineLevel="0" collapsed="false">
      <c r="A344" s="7"/>
      <c r="B344" s="7"/>
      <c r="C344" s="7"/>
      <c r="D344" s="7"/>
      <c r="E344" s="7"/>
      <c r="F344" s="7"/>
      <c r="G344" s="8"/>
      <c r="H344" s="9"/>
      <c r="I344" s="9"/>
      <c r="J344" s="9"/>
      <c r="K344" s="7"/>
      <c r="L344" s="7"/>
      <c r="M344" s="9" t="str">
        <f aca="false">IF(AND(H344&lt;&gt;"",I344&lt;&gt;"",K344&lt;&gt;""),ABS(H344-I344)*K344,"")</f>
        <v/>
      </c>
      <c r="N344" s="9"/>
      <c r="O344" s="7"/>
      <c r="P344" s="9" t="str">
        <f aca="false">IF(N344&lt;&gt;"",(N344-H344)*K344*IF(E344="Buy",1,-1),"")</f>
        <v/>
      </c>
      <c r="Q344" s="10" t="str">
        <f aca="false">IF(AND(P344&lt;&gt;"",H344&lt;&gt;0,K344&lt;&gt;0),P344/(H344*K344),"")</f>
        <v/>
      </c>
      <c r="R344" s="11" t="str">
        <f aca="false">IF(AND(N344&lt;&gt;"",H344&lt;&gt;I344),IF(E344="Buy",(N344-H344)/(H344-I344),(H344-N344)/(I344-H344)),"")</f>
        <v/>
      </c>
      <c r="S344" s="7" t="str">
        <f aca="false">IF(D344="","",IF(N344&lt;&gt;"","Closed","Open"))</f>
        <v/>
      </c>
      <c r="T344" s="7"/>
    </row>
    <row r="345" customFormat="false" ht="15" hidden="false" customHeight="false" outlineLevel="0" collapsed="false">
      <c r="A345" s="7"/>
      <c r="B345" s="7"/>
      <c r="C345" s="7"/>
      <c r="D345" s="7"/>
      <c r="E345" s="7"/>
      <c r="F345" s="7"/>
      <c r="G345" s="8"/>
      <c r="H345" s="9"/>
      <c r="I345" s="9"/>
      <c r="J345" s="9"/>
      <c r="K345" s="7"/>
      <c r="L345" s="7"/>
      <c r="M345" s="9" t="str">
        <f aca="false">IF(AND(H345&lt;&gt;"",I345&lt;&gt;"",K345&lt;&gt;""),ABS(H345-I345)*K345,"")</f>
        <v/>
      </c>
      <c r="N345" s="9"/>
      <c r="O345" s="7"/>
      <c r="P345" s="9" t="str">
        <f aca="false">IF(N345&lt;&gt;"",(N345-H345)*K345*IF(E345="Buy",1,-1),"")</f>
        <v/>
      </c>
      <c r="Q345" s="10" t="str">
        <f aca="false">IF(AND(P345&lt;&gt;"",H345&lt;&gt;0,K345&lt;&gt;0),P345/(H345*K345),"")</f>
        <v/>
      </c>
      <c r="R345" s="11" t="str">
        <f aca="false">IF(AND(N345&lt;&gt;"",H345&lt;&gt;I345),IF(E345="Buy",(N345-H345)/(H345-I345),(H345-N345)/(I345-H345)),"")</f>
        <v/>
      </c>
      <c r="S345" s="7" t="str">
        <f aca="false">IF(D345="","",IF(N345&lt;&gt;"","Closed","Open"))</f>
        <v/>
      </c>
      <c r="T345" s="7"/>
    </row>
    <row r="346" customFormat="false" ht="15" hidden="false" customHeight="false" outlineLevel="0" collapsed="false">
      <c r="A346" s="7"/>
      <c r="B346" s="7"/>
      <c r="C346" s="7"/>
      <c r="D346" s="7"/>
      <c r="E346" s="7"/>
      <c r="F346" s="7"/>
      <c r="G346" s="8"/>
      <c r="H346" s="9"/>
      <c r="I346" s="9"/>
      <c r="J346" s="9"/>
      <c r="K346" s="7"/>
      <c r="L346" s="7"/>
      <c r="M346" s="9" t="str">
        <f aca="false">IF(AND(H346&lt;&gt;"",I346&lt;&gt;"",K346&lt;&gt;""),ABS(H346-I346)*K346,"")</f>
        <v/>
      </c>
      <c r="N346" s="9"/>
      <c r="O346" s="7"/>
      <c r="P346" s="9" t="str">
        <f aca="false">IF(N346&lt;&gt;"",(N346-H346)*K346*IF(E346="Buy",1,-1),"")</f>
        <v/>
      </c>
      <c r="Q346" s="10" t="str">
        <f aca="false">IF(AND(P346&lt;&gt;"",H346&lt;&gt;0,K346&lt;&gt;0),P346/(H346*K346),"")</f>
        <v/>
      </c>
      <c r="R346" s="11" t="str">
        <f aca="false">IF(AND(N346&lt;&gt;"",H346&lt;&gt;I346),IF(E346="Buy",(N346-H346)/(H346-I346),(H346-N346)/(I346-H346)),"")</f>
        <v/>
      </c>
      <c r="S346" s="7" t="str">
        <f aca="false">IF(D346="","",IF(N346&lt;&gt;"","Closed","Open"))</f>
        <v/>
      </c>
      <c r="T346" s="7"/>
    </row>
    <row r="347" customFormat="false" ht="15" hidden="false" customHeight="false" outlineLevel="0" collapsed="false">
      <c r="A347" s="7"/>
      <c r="B347" s="7"/>
      <c r="C347" s="7"/>
      <c r="D347" s="7"/>
      <c r="E347" s="7"/>
      <c r="F347" s="7"/>
      <c r="G347" s="8"/>
      <c r="H347" s="9"/>
      <c r="I347" s="9"/>
      <c r="J347" s="9"/>
      <c r="K347" s="7"/>
      <c r="L347" s="7"/>
      <c r="M347" s="9" t="str">
        <f aca="false">IF(AND(H347&lt;&gt;"",I347&lt;&gt;"",K347&lt;&gt;""),ABS(H347-I347)*K347,"")</f>
        <v/>
      </c>
      <c r="N347" s="9"/>
      <c r="O347" s="7"/>
      <c r="P347" s="9" t="str">
        <f aca="false">IF(N347&lt;&gt;"",(N347-H347)*K347*IF(E347="Buy",1,-1),"")</f>
        <v/>
      </c>
      <c r="Q347" s="10" t="str">
        <f aca="false">IF(AND(P347&lt;&gt;"",H347&lt;&gt;0,K347&lt;&gt;0),P347/(H347*K347),"")</f>
        <v/>
      </c>
      <c r="R347" s="11" t="str">
        <f aca="false">IF(AND(N347&lt;&gt;"",H347&lt;&gt;I347),IF(E347="Buy",(N347-H347)/(H347-I347),(H347-N347)/(I347-H347)),"")</f>
        <v/>
      </c>
      <c r="S347" s="7" t="str">
        <f aca="false">IF(D347="","",IF(N347&lt;&gt;"","Closed","Open"))</f>
        <v/>
      </c>
      <c r="T347" s="7"/>
    </row>
    <row r="348" customFormat="false" ht="15" hidden="false" customHeight="false" outlineLevel="0" collapsed="false">
      <c r="A348" s="7"/>
      <c r="B348" s="7"/>
      <c r="C348" s="7"/>
      <c r="D348" s="7"/>
      <c r="E348" s="7"/>
      <c r="F348" s="7"/>
      <c r="G348" s="8"/>
      <c r="H348" s="9"/>
      <c r="I348" s="9"/>
      <c r="J348" s="9"/>
      <c r="K348" s="7"/>
      <c r="L348" s="7"/>
      <c r="M348" s="9" t="str">
        <f aca="false">IF(AND(H348&lt;&gt;"",I348&lt;&gt;"",K348&lt;&gt;""),ABS(H348-I348)*K348,"")</f>
        <v/>
      </c>
      <c r="N348" s="9"/>
      <c r="O348" s="7"/>
      <c r="P348" s="9" t="str">
        <f aca="false">IF(N348&lt;&gt;"",(N348-H348)*K348*IF(E348="Buy",1,-1),"")</f>
        <v/>
      </c>
      <c r="Q348" s="10" t="str">
        <f aca="false">IF(AND(P348&lt;&gt;"",H348&lt;&gt;0,K348&lt;&gt;0),P348/(H348*K348),"")</f>
        <v/>
      </c>
      <c r="R348" s="11" t="str">
        <f aca="false">IF(AND(N348&lt;&gt;"",H348&lt;&gt;I348),IF(E348="Buy",(N348-H348)/(H348-I348),(H348-N348)/(I348-H348)),"")</f>
        <v/>
      </c>
      <c r="S348" s="7" t="str">
        <f aca="false">IF(D348="","",IF(N348&lt;&gt;"","Closed","Open"))</f>
        <v/>
      </c>
      <c r="T348" s="7"/>
    </row>
    <row r="349" customFormat="false" ht="15" hidden="false" customHeight="false" outlineLevel="0" collapsed="false">
      <c r="A349" s="7"/>
      <c r="B349" s="7"/>
      <c r="C349" s="7"/>
      <c r="D349" s="7"/>
      <c r="E349" s="7"/>
      <c r="F349" s="7"/>
      <c r="G349" s="8"/>
      <c r="H349" s="9"/>
      <c r="I349" s="9"/>
      <c r="J349" s="9"/>
      <c r="K349" s="7"/>
      <c r="L349" s="7"/>
      <c r="M349" s="9" t="str">
        <f aca="false">IF(AND(H349&lt;&gt;"",I349&lt;&gt;"",K349&lt;&gt;""),ABS(H349-I349)*K349,"")</f>
        <v/>
      </c>
      <c r="N349" s="9"/>
      <c r="O349" s="7"/>
      <c r="P349" s="9" t="str">
        <f aca="false">IF(N349&lt;&gt;"",(N349-H349)*K349*IF(E349="Buy",1,-1),"")</f>
        <v/>
      </c>
      <c r="Q349" s="10" t="str">
        <f aca="false">IF(AND(P349&lt;&gt;"",H349&lt;&gt;0,K349&lt;&gt;0),P349/(H349*K349),"")</f>
        <v/>
      </c>
      <c r="R349" s="11" t="str">
        <f aca="false">IF(AND(N349&lt;&gt;"",H349&lt;&gt;I349),IF(E349="Buy",(N349-H349)/(H349-I349),(H349-N349)/(I349-H349)),"")</f>
        <v/>
      </c>
      <c r="S349" s="7" t="str">
        <f aca="false">IF(D349="","",IF(N349&lt;&gt;"","Closed","Open"))</f>
        <v/>
      </c>
      <c r="T349" s="7"/>
    </row>
    <row r="350" customFormat="false" ht="15" hidden="false" customHeight="false" outlineLevel="0" collapsed="false">
      <c r="A350" s="7"/>
      <c r="B350" s="7"/>
      <c r="C350" s="7"/>
      <c r="D350" s="7"/>
      <c r="E350" s="7"/>
      <c r="F350" s="7"/>
      <c r="G350" s="8"/>
      <c r="H350" s="9"/>
      <c r="I350" s="9"/>
      <c r="J350" s="9"/>
      <c r="K350" s="7"/>
      <c r="L350" s="7"/>
      <c r="M350" s="9" t="str">
        <f aca="false">IF(AND(H350&lt;&gt;"",I350&lt;&gt;"",K350&lt;&gt;""),ABS(H350-I350)*K350,"")</f>
        <v/>
      </c>
      <c r="N350" s="9"/>
      <c r="O350" s="7"/>
      <c r="P350" s="9" t="str">
        <f aca="false">IF(N350&lt;&gt;"",(N350-H350)*K350*IF(E350="Buy",1,-1),"")</f>
        <v/>
      </c>
      <c r="Q350" s="10" t="str">
        <f aca="false">IF(AND(P350&lt;&gt;"",H350&lt;&gt;0,K350&lt;&gt;0),P350/(H350*K350),"")</f>
        <v/>
      </c>
      <c r="R350" s="11" t="str">
        <f aca="false">IF(AND(N350&lt;&gt;"",H350&lt;&gt;I350),IF(E350="Buy",(N350-H350)/(H350-I350),(H350-N350)/(I350-H350)),"")</f>
        <v/>
      </c>
      <c r="S350" s="7" t="str">
        <f aca="false">IF(D350="","",IF(N350&lt;&gt;"","Closed","Open"))</f>
        <v/>
      </c>
      <c r="T350" s="7"/>
    </row>
    <row r="351" customFormat="false" ht="15" hidden="false" customHeight="false" outlineLevel="0" collapsed="false">
      <c r="A351" s="7"/>
      <c r="B351" s="7"/>
      <c r="C351" s="7"/>
      <c r="D351" s="7"/>
      <c r="E351" s="7"/>
      <c r="F351" s="7"/>
      <c r="G351" s="8"/>
      <c r="H351" s="9"/>
      <c r="I351" s="9"/>
      <c r="J351" s="9"/>
      <c r="K351" s="7"/>
      <c r="L351" s="7"/>
      <c r="M351" s="9" t="str">
        <f aca="false">IF(AND(H351&lt;&gt;"",I351&lt;&gt;"",K351&lt;&gt;""),ABS(H351-I351)*K351,"")</f>
        <v/>
      </c>
      <c r="N351" s="9"/>
      <c r="O351" s="7"/>
      <c r="P351" s="9" t="str">
        <f aca="false">IF(N351&lt;&gt;"",(N351-H351)*K351*IF(E351="Buy",1,-1),"")</f>
        <v/>
      </c>
      <c r="Q351" s="10" t="str">
        <f aca="false">IF(AND(P351&lt;&gt;"",H351&lt;&gt;0,K351&lt;&gt;0),P351/(H351*K351),"")</f>
        <v/>
      </c>
      <c r="R351" s="11" t="str">
        <f aca="false">IF(AND(N351&lt;&gt;"",H351&lt;&gt;I351),IF(E351="Buy",(N351-H351)/(H351-I351),(H351-N351)/(I351-H351)),"")</f>
        <v/>
      </c>
      <c r="S351" s="7" t="str">
        <f aca="false">IF(D351="","",IF(N351&lt;&gt;"","Closed","Open"))</f>
        <v/>
      </c>
      <c r="T351" s="7"/>
    </row>
    <row r="352" customFormat="false" ht="15" hidden="false" customHeight="false" outlineLevel="0" collapsed="false">
      <c r="A352" s="7"/>
      <c r="B352" s="7"/>
      <c r="C352" s="7"/>
      <c r="D352" s="7"/>
      <c r="E352" s="7"/>
      <c r="F352" s="7"/>
      <c r="G352" s="8"/>
      <c r="H352" s="9"/>
      <c r="I352" s="9"/>
      <c r="J352" s="9"/>
      <c r="K352" s="7"/>
      <c r="L352" s="7"/>
      <c r="M352" s="9" t="str">
        <f aca="false">IF(AND(H352&lt;&gt;"",I352&lt;&gt;"",K352&lt;&gt;""),ABS(H352-I352)*K352,"")</f>
        <v/>
      </c>
      <c r="N352" s="9"/>
      <c r="O352" s="7"/>
      <c r="P352" s="9" t="str">
        <f aca="false">IF(N352&lt;&gt;"",(N352-H352)*K352*IF(E352="Buy",1,-1),"")</f>
        <v/>
      </c>
      <c r="Q352" s="10" t="str">
        <f aca="false">IF(AND(P352&lt;&gt;"",H352&lt;&gt;0,K352&lt;&gt;0),P352/(H352*K352),"")</f>
        <v/>
      </c>
      <c r="R352" s="11" t="str">
        <f aca="false">IF(AND(N352&lt;&gt;"",H352&lt;&gt;I352),IF(E352="Buy",(N352-H352)/(H352-I352),(H352-N352)/(I352-H352)),"")</f>
        <v/>
      </c>
      <c r="S352" s="7" t="str">
        <f aca="false">IF(D352="","",IF(N352&lt;&gt;"","Closed","Open"))</f>
        <v/>
      </c>
      <c r="T352" s="7"/>
    </row>
    <row r="353" customFormat="false" ht="15" hidden="false" customHeight="false" outlineLevel="0" collapsed="false">
      <c r="A353" s="7"/>
      <c r="B353" s="7"/>
      <c r="C353" s="7"/>
      <c r="D353" s="7"/>
      <c r="E353" s="7"/>
      <c r="F353" s="7"/>
      <c r="G353" s="8"/>
      <c r="H353" s="9"/>
      <c r="I353" s="9"/>
      <c r="J353" s="9"/>
      <c r="K353" s="7"/>
      <c r="L353" s="7"/>
      <c r="M353" s="9" t="str">
        <f aca="false">IF(AND(H353&lt;&gt;"",I353&lt;&gt;"",K353&lt;&gt;""),ABS(H353-I353)*K353,"")</f>
        <v/>
      </c>
      <c r="N353" s="9"/>
      <c r="O353" s="7"/>
      <c r="P353" s="9" t="str">
        <f aca="false">IF(N353&lt;&gt;"",(N353-H353)*K353*IF(E353="Buy",1,-1),"")</f>
        <v/>
      </c>
      <c r="Q353" s="10" t="str">
        <f aca="false">IF(AND(P353&lt;&gt;"",H353&lt;&gt;0,K353&lt;&gt;0),P353/(H353*K353),"")</f>
        <v/>
      </c>
      <c r="R353" s="11" t="str">
        <f aca="false">IF(AND(N353&lt;&gt;"",H353&lt;&gt;I353),IF(E353="Buy",(N353-H353)/(H353-I353),(H353-N353)/(I353-H353)),"")</f>
        <v/>
      </c>
      <c r="S353" s="7" t="str">
        <f aca="false">IF(D353="","",IF(N353&lt;&gt;"","Closed","Open"))</f>
        <v/>
      </c>
      <c r="T353" s="7"/>
    </row>
    <row r="354" customFormat="false" ht="15" hidden="false" customHeight="false" outlineLevel="0" collapsed="false">
      <c r="A354" s="7"/>
      <c r="B354" s="7"/>
      <c r="C354" s="7"/>
      <c r="D354" s="7"/>
      <c r="E354" s="7"/>
      <c r="F354" s="7"/>
      <c r="G354" s="8"/>
      <c r="H354" s="9"/>
      <c r="I354" s="9"/>
      <c r="J354" s="9"/>
      <c r="K354" s="7"/>
      <c r="L354" s="7"/>
      <c r="M354" s="9" t="str">
        <f aca="false">IF(AND(H354&lt;&gt;"",I354&lt;&gt;"",K354&lt;&gt;""),ABS(H354-I354)*K354,"")</f>
        <v/>
      </c>
      <c r="N354" s="9"/>
      <c r="O354" s="7"/>
      <c r="P354" s="9" t="str">
        <f aca="false">IF(N354&lt;&gt;"",(N354-H354)*K354*IF(E354="Buy",1,-1),"")</f>
        <v/>
      </c>
      <c r="Q354" s="10" t="str">
        <f aca="false">IF(AND(P354&lt;&gt;"",H354&lt;&gt;0,K354&lt;&gt;0),P354/(H354*K354),"")</f>
        <v/>
      </c>
      <c r="R354" s="11" t="str">
        <f aca="false">IF(AND(N354&lt;&gt;"",H354&lt;&gt;I354),IF(E354="Buy",(N354-H354)/(H354-I354),(H354-N354)/(I354-H354)),"")</f>
        <v/>
      </c>
      <c r="S354" s="7" t="str">
        <f aca="false">IF(D354="","",IF(N354&lt;&gt;"","Closed","Open"))</f>
        <v/>
      </c>
      <c r="T354" s="7"/>
    </row>
    <row r="355" customFormat="false" ht="15" hidden="false" customHeight="false" outlineLevel="0" collapsed="false">
      <c r="A355" s="7"/>
      <c r="B355" s="7"/>
      <c r="C355" s="7"/>
      <c r="D355" s="7"/>
      <c r="E355" s="7"/>
      <c r="F355" s="7"/>
      <c r="G355" s="8"/>
      <c r="H355" s="9"/>
      <c r="I355" s="9"/>
      <c r="J355" s="9"/>
      <c r="K355" s="7"/>
      <c r="L355" s="7"/>
      <c r="M355" s="9" t="str">
        <f aca="false">IF(AND(H355&lt;&gt;"",I355&lt;&gt;"",K355&lt;&gt;""),ABS(H355-I355)*K355,"")</f>
        <v/>
      </c>
      <c r="N355" s="9"/>
      <c r="O355" s="7"/>
      <c r="P355" s="9" t="str">
        <f aca="false">IF(N355&lt;&gt;"",(N355-H355)*K355*IF(E355="Buy",1,-1),"")</f>
        <v/>
      </c>
      <c r="Q355" s="10" t="str">
        <f aca="false">IF(AND(P355&lt;&gt;"",H355&lt;&gt;0,K355&lt;&gt;0),P355/(H355*K355),"")</f>
        <v/>
      </c>
      <c r="R355" s="11" t="str">
        <f aca="false">IF(AND(N355&lt;&gt;"",H355&lt;&gt;I355),IF(E355="Buy",(N355-H355)/(H355-I355),(H355-N355)/(I355-H355)),"")</f>
        <v/>
      </c>
      <c r="S355" s="7" t="str">
        <f aca="false">IF(D355="","",IF(N355&lt;&gt;"","Closed","Open"))</f>
        <v/>
      </c>
      <c r="T355" s="7"/>
    </row>
    <row r="356" customFormat="false" ht="15" hidden="false" customHeight="false" outlineLevel="0" collapsed="false">
      <c r="A356" s="7"/>
      <c r="B356" s="7"/>
      <c r="C356" s="7"/>
      <c r="D356" s="7"/>
      <c r="E356" s="7"/>
      <c r="F356" s="7"/>
      <c r="G356" s="8"/>
      <c r="H356" s="9"/>
      <c r="I356" s="9"/>
      <c r="J356" s="9"/>
      <c r="K356" s="7"/>
      <c r="L356" s="7"/>
      <c r="M356" s="9" t="str">
        <f aca="false">IF(AND(H356&lt;&gt;"",I356&lt;&gt;"",K356&lt;&gt;""),ABS(H356-I356)*K356,"")</f>
        <v/>
      </c>
      <c r="N356" s="9"/>
      <c r="O356" s="7"/>
      <c r="P356" s="9" t="str">
        <f aca="false">IF(N356&lt;&gt;"",(N356-H356)*K356*IF(E356="Buy",1,-1),"")</f>
        <v/>
      </c>
      <c r="Q356" s="10" t="str">
        <f aca="false">IF(AND(P356&lt;&gt;"",H356&lt;&gt;0,K356&lt;&gt;0),P356/(H356*K356),"")</f>
        <v/>
      </c>
      <c r="R356" s="11" t="str">
        <f aca="false">IF(AND(N356&lt;&gt;"",H356&lt;&gt;I356),IF(E356="Buy",(N356-H356)/(H356-I356),(H356-N356)/(I356-H356)),"")</f>
        <v/>
      </c>
      <c r="S356" s="7" t="str">
        <f aca="false">IF(D356="","",IF(N356&lt;&gt;"","Closed","Open"))</f>
        <v/>
      </c>
      <c r="T356" s="7"/>
    </row>
    <row r="357" customFormat="false" ht="15" hidden="false" customHeight="false" outlineLevel="0" collapsed="false">
      <c r="A357" s="7"/>
      <c r="B357" s="7"/>
      <c r="C357" s="7"/>
      <c r="D357" s="7"/>
      <c r="E357" s="7"/>
      <c r="F357" s="7"/>
      <c r="G357" s="8"/>
      <c r="H357" s="9"/>
      <c r="I357" s="9"/>
      <c r="J357" s="9"/>
      <c r="K357" s="7"/>
      <c r="L357" s="7"/>
      <c r="M357" s="9" t="str">
        <f aca="false">IF(AND(H357&lt;&gt;"",I357&lt;&gt;"",K357&lt;&gt;""),ABS(H357-I357)*K357,"")</f>
        <v/>
      </c>
      <c r="N357" s="9"/>
      <c r="O357" s="7"/>
      <c r="P357" s="9" t="str">
        <f aca="false">IF(N357&lt;&gt;"",(N357-H357)*K357*IF(E357="Buy",1,-1),"")</f>
        <v/>
      </c>
      <c r="Q357" s="10" t="str">
        <f aca="false">IF(AND(P357&lt;&gt;"",H357&lt;&gt;0,K357&lt;&gt;0),P357/(H357*K357),"")</f>
        <v/>
      </c>
      <c r="R357" s="11" t="str">
        <f aca="false">IF(AND(N357&lt;&gt;"",H357&lt;&gt;I357),IF(E357="Buy",(N357-H357)/(H357-I357),(H357-N357)/(I357-H357)),"")</f>
        <v/>
      </c>
      <c r="S357" s="7" t="str">
        <f aca="false">IF(D357="","",IF(N357&lt;&gt;"","Closed","Open"))</f>
        <v/>
      </c>
      <c r="T357" s="7"/>
    </row>
    <row r="358" customFormat="false" ht="15" hidden="false" customHeight="false" outlineLevel="0" collapsed="false">
      <c r="A358" s="7"/>
      <c r="B358" s="7"/>
      <c r="C358" s="7"/>
      <c r="D358" s="7"/>
      <c r="E358" s="7"/>
      <c r="F358" s="7"/>
      <c r="G358" s="8"/>
      <c r="H358" s="9"/>
      <c r="I358" s="9"/>
      <c r="J358" s="9"/>
      <c r="K358" s="7"/>
      <c r="L358" s="7"/>
      <c r="M358" s="9" t="str">
        <f aca="false">IF(AND(H358&lt;&gt;"",I358&lt;&gt;"",K358&lt;&gt;""),ABS(H358-I358)*K358,"")</f>
        <v/>
      </c>
      <c r="N358" s="9"/>
      <c r="O358" s="7"/>
      <c r="P358" s="9" t="str">
        <f aca="false">IF(N358&lt;&gt;"",(N358-H358)*K358*IF(E358="Buy",1,-1),"")</f>
        <v/>
      </c>
      <c r="Q358" s="10" t="str">
        <f aca="false">IF(AND(P358&lt;&gt;"",H358&lt;&gt;0,K358&lt;&gt;0),P358/(H358*K358),"")</f>
        <v/>
      </c>
      <c r="R358" s="11" t="str">
        <f aca="false">IF(AND(N358&lt;&gt;"",H358&lt;&gt;I358),IF(E358="Buy",(N358-H358)/(H358-I358),(H358-N358)/(I358-H358)),"")</f>
        <v/>
      </c>
      <c r="S358" s="7" t="str">
        <f aca="false">IF(D358="","",IF(N358&lt;&gt;"","Closed","Open"))</f>
        <v/>
      </c>
      <c r="T358" s="7"/>
    </row>
    <row r="359" customFormat="false" ht="15" hidden="false" customHeight="false" outlineLevel="0" collapsed="false">
      <c r="A359" s="7"/>
      <c r="B359" s="7"/>
      <c r="C359" s="7"/>
      <c r="D359" s="7"/>
      <c r="E359" s="7"/>
      <c r="F359" s="7"/>
      <c r="G359" s="8"/>
      <c r="H359" s="9"/>
      <c r="I359" s="9"/>
      <c r="J359" s="9"/>
      <c r="K359" s="7"/>
      <c r="L359" s="7"/>
      <c r="M359" s="9" t="str">
        <f aca="false">IF(AND(H359&lt;&gt;"",I359&lt;&gt;"",K359&lt;&gt;""),ABS(H359-I359)*K359,"")</f>
        <v/>
      </c>
      <c r="N359" s="9"/>
      <c r="O359" s="7"/>
      <c r="P359" s="9" t="str">
        <f aca="false">IF(N359&lt;&gt;"",(N359-H359)*K359*IF(E359="Buy",1,-1),"")</f>
        <v/>
      </c>
      <c r="Q359" s="10" t="str">
        <f aca="false">IF(AND(P359&lt;&gt;"",H359&lt;&gt;0,K359&lt;&gt;0),P359/(H359*K359),"")</f>
        <v/>
      </c>
      <c r="R359" s="11" t="str">
        <f aca="false">IF(AND(N359&lt;&gt;"",H359&lt;&gt;I359),IF(E359="Buy",(N359-H359)/(H359-I359),(H359-N359)/(I359-H359)),"")</f>
        <v/>
      </c>
      <c r="S359" s="7" t="str">
        <f aca="false">IF(D359="","",IF(N359&lt;&gt;"","Closed","Open"))</f>
        <v/>
      </c>
      <c r="T359" s="7"/>
    </row>
    <row r="360" customFormat="false" ht="15" hidden="false" customHeight="false" outlineLevel="0" collapsed="false">
      <c r="A360" s="7"/>
      <c r="B360" s="7"/>
      <c r="C360" s="7"/>
      <c r="D360" s="7"/>
      <c r="E360" s="7"/>
      <c r="F360" s="7"/>
      <c r="G360" s="8"/>
      <c r="H360" s="9"/>
      <c r="I360" s="9"/>
      <c r="J360" s="9"/>
      <c r="K360" s="7"/>
      <c r="L360" s="7"/>
      <c r="M360" s="9" t="str">
        <f aca="false">IF(AND(H360&lt;&gt;"",I360&lt;&gt;"",K360&lt;&gt;""),ABS(H360-I360)*K360,"")</f>
        <v/>
      </c>
      <c r="N360" s="9"/>
      <c r="O360" s="7"/>
      <c r="P360" s="9" t="str">
        <f aca="false">IF(N360&lt;&gt;"",(N360-H360)*K360*IF(E360="Buy",1,-1),"")</f>
        <v/>
      </c>
      <c r="Q360" s="10" t="str">
        <f aca="false">IF(AND(P360&lt;&gt;"",H360&lt;&gt;0,K360&lt;&gt;0),P360/(H360*K360),"")</f>
        <v/>
      </c>
      <c r="R360" s="11" t="str">
        <f aca="false">IF(AND(N360&lt;&gt;"",H360&lt;&gt;I360),IF(E360="Buy",(N360-H360)/(H360-I360),(H360-N360)/(I360-H360)),"")</f>
        <v/>
      </c>
      <c r="S360" s="7" t="str">
        <f aca="false">IF(D360="","",IF(N360&lt;&gt;"","Closed","Open"))</f>
        <v/>
      </c>
      <c r="T360" s="7"/>
    </row>
    <row r="361" customFormat="false" ht="15" hidden="false" customHeight="false" outlineLevel="0" collapsed="false">
      <c r="A361" s="7"/>
      <c r="B361" s="7"/>
      <c r="C361" s="7"/>
      <c r="D361" s="7"/>
      <c r="E361" s="7"/>
      <c r="F361" s="7"/>
      <c r="G361" s="8"/>
      <c r="H361" s="9"/>
      <c r="I361" s="9"/>
      <c r="J361" s="9"/>
      <c r="K361" s="7"/>
      <c r="L361" s="7"/>
      <c r="M361" s="9" t="str">
        <f aca="false">IF(AND(H361&lt;&gt;"",I361&lt;&gt;"",K361&lt;&gt;""),ABS(H361-I361)*K361,"")</f>
        <v/>
      </c>
      <c r="N361" s="9"/>
      <c r="O361" s="7"/>
      <c r="P361" s="9" t="str">
        <f aca="false">IF(N361&lt;&gt;"",(N361-H361)*K361*IF(E361="Buy",1,-1),"")</f>
        <v/>
      </c>
      <c r="Q361" s="10" t="str">
        <f aca="false">IF(AND(P361&lt;&gt;"",H361&lt;&gt;0,K361&lt;&gt;0),P361/(H361*K361),"")</f>
        <v/>
      </c>
      <c r="R361" s="11" t="str">
        <f aca="false">IF(AND(N361&lt;&gt;"",H361&lt;&gt;I361),IF(E361="Buy",(N361-H361)/(H361-I361),(H361-N361)/(I361-H361)),"")</f>
        <v/>
      </c>
      <c r="S361" s="7" t="str">
        <f aca="false">IF(D361="","",IF(N361&lt;&gt;"","Closed","Open"))</f>
        <v/>
      </c>
      <c r="T361" s="7"/>
    </row>
    <row r="362" customFormat="false" ht="15" hidden="false" customHeight="false" outlineLevel="0" collapsed="false">
      <c r="A362" s="7"/>
      <c r="B362" s="7"/>
      <c r="C362" s="7"/>
      <c r="D362" s="7"/>
      <c r="E362" s="7"/>
      <c r="F362" s="7"/>
      <c r="G362" s="8"/>
      <c r="H362" s="9"/>
      <c r="I362" s="9"/>
      <c r="J362" s="9"/>
      <c r="K362" s="7"/>
      <c r="L362" s="7"/>
      <c r="M362" s="9" t="str">
        <f aca="false">IF(AND(H362&lt;&gt;"",I362&lt;&gt;"",K362&lt;&gt;""),ABS(H362-I362)*K362,"")</f>
        <v/>
      </c>
      <c r="N362" s="9"/>
      <c r="O362" s="7"/>
      <c r="P362" s="9" t="str">
        <f aca="false">IF(N362&lt;&gt;"",(N362-H362)*K362*IF(E362="Buy",1,-1),"")</f>
        <v/>
      </c>
      <c r="Q362" s="10" t="str">
        <f aca="false">IF(AND(P362&lt;&gt;"",H362&lt;&gt;0,K362&lt;&gt;0),P362/(H362*K362),"")</f>
        <v/>
      </c>
      <c r="R362" s="11" t="str">
        <f aca="false">IF(AND(N362&lt;&gt;"",H362&lt;&gt;I362),IF(E362="Buy",(N362-H362)/(H362-I362),(H362-N362)/(I362-H362)),"")</f>
        <v/>
      </c>
      <c r="S362" s="7" t="str">
        <f aca="false">IF(D362="","",IF(N362&lt;&gt;"","Closed","Open"))</f>
        <v/>
      </c>
      <c r="T362" s="7"/>
    </row>
    <row r="363" customFormat="false" ht="15" hidden="false" customHeight="false" outlineLevel="0" collapsed="false">
      <c r="A363" s="7"/>
      <c r="B363" s="7"/>
      <c r="C363" s="7"/>
      <c r="D363" s="7"/>
      <c r="E363" s="7"/>
      <c r="F363" s="7"/>
      <c r="G363" s="8"/>
      <c r="H363" s="9"/>
      <c r="I363" s="9"/>
      <c r="J363" s="9"/>
      <c r="K363" s="7"/>
      <c r="L363" s="7"/>
      <c r="M363" s="9" t="str">
        <f aca="false">IF(AND(H363&lt;&gt;"",I363&lt;&gt;"",K363&lt;&gt;""),ABS(H363-I363)*K363,"")</f>
        <v/>
      </c>
      <c r="N363" s="9"/>
      <c r="O363" s="7"/>
      <c r="P363" s="9" t="str">
        <f aca="false">IF(N363&lt;&gt;"",(N363-H363)*K363*IF(E363="Buy",1,-1),"")</f>
        <v/>
      </c>
      <c r="Q363" s="10" t="str">
        <f aca="false">IF(AND(P363&lt;&gt;"",H363&lt;&gt;0,K363&lt;&gt;0),P363/(H363*K363),"")</f>
        <v/>
      </c>
      <c r="R363" s="11" t="str">
        <f aca="false">IF(AND(N363&lt;&gt;"",H363&lt;&gt;I363),IF(E363="Buy",(N363-H363)/(H363-I363),(H363-N363)/(I363-H363)),"")</f>
        <v/>
      </c>
      <c r="S363" s="7" t="str">
        <f aca="false">IF(D363="","",IF(N363&lt;&gt;"","Closed","Open"))</f>
        <v/>
      </c>
      <c r="T363" s="7"/>
    </row>
    <row r="364" customFormat="false" ht="15" hidden="false" customHeight="false" outlineLevel="0" collapsed="false">
      <c r="A364" s="7"/>
      <c r="B364" s="7"/>
      <c r="C364" s="7"/>
      <c r="D364" s="7"/>
      <c r="E364" s="7"/>
      <c r="F364" s="7"/>
      <c r="G364" s="8"/>
      <c r="H364" s="9"/>
      <c r="I364" s="9"/>
      <c r="J364" s="9"/>
      <c r="K364" s="7"/>
      <c r="L364" s="7"/>
      <c r="M364" s="9" t="str">
        <f aca="false">IF(AND(H364&lt;&gt;"",I364&lt;&gt;"",K364&lt;&gt;""),ABS(H364-I364)*K364,"")</f>
        <v/>
      </c>
      <c r="N364" s="9"/>
      <c r="O364" s="7"/>
      <c r="P364" s="9" t="str">
        <f aca="false">IF(N364&lt;&gt;"",(N364-H364)*K364*IF(E364="Buy",1,-1),"")</f>
        <v/>
      </c>
      <c r="Q364" s="10" t="str">
        <f aca="false">IF(AND(P364&lt;&gt;"",H364&lt;&gt;0,K364&lt;&gt;0),P364/(H364*K364),"")</f>
        <v/>
      </c>
      <c r="R364" s="11" t="str">
        <f aca="false">IF(AND(N364&lt;&gt;"",H364&lt;&gt;I364),IF(E364="Buy",(N364-H364)/(H364-I364),(H364-N364)/(I364-H364)),"")</f>
        <v/>
      </c>
      <c r="S364" s="7" t="str">
        <f aca="false">IF(D364="","",IF(N364&lt;&gt;"","Closed","Open"))</f>
        <v/>
      </c>
      <c r="T364" s="7"/>
    </row>
    <row r="365" customFormat="false" ht="15" hidden="false" customHeight="false" outlineLevel="0" collapsed="false">
      <c r="A365" s="7"/>
      <c r="B365" s="7"/>
      <c r="C365" s="7"/>
      <c r="D365" s="7"/>
      <c r="E365" s="7"/>
      <c r="F365" s="7"/>
      <c r="G365" s="8"/>
      <c r="H365" s="9"/>
      <c r="I365" s="9"/>
      <c r="J365" s="9"/>
      <c r="K365" s="7"/>
      <c r="L365" s="7"/>
      <c r="M365" s="9" t="str">
        <f aca="false">IF(AND(H365&lt;&gt;"",I365&lt;&gt;"",K365&lt;&gt;""),ABS(H365-I365)*K365,"")</f>
        <v/>
      </c>
      <c r="N365" s="9"/>
      <c r="O365" s="7"/>
      <c r="P365" s="9" t="str">
        <f aca="false">IF(N365&lt;&gt;"",(N365-H365)*K365*IF(E365="Buy",1,-1),"")</f>
        <v/>
      </c>
      <c r="Q365" s="10" t="str">
        <f aca="false">IF(AND(P365&lt;&gt;"",H365&lt;&gt;0,K365&lt;&gt;0),P365/(H365*K365),"")</f>
        <v/>
      </c>
      <c r="R365" s="11" t="str">
        <f aca="false">IF(AND(N365&lt;&gt;"",H365&lt;&gt;I365),IF(E365="Buy",(N365-H365)/(H365-I365),(H365-N365)/(I365-H365)),"")</f>
        <v/>
      </c>
      <c r="S365" s="7" t="str">
        <f aca="false">IF(D365="","",IF(N365&lt;&gt;"","Closed","Open"))</f>
        <v/>
      </c>
      <c r="T365" s="7"/>
    </row>
    <row r="366" customFormat="false" ht="15" hidden="false" customHeight="false" outlineLevel="0" collapsed="false">
      <c r="A366" s="7"/>
      <c r="B366" s="7"/>
      <c r="C366" s="7"/>
      <c r="D366" s="7"/>
      <c r="E366" s="7"/>
      <c r="F366" s="7"/>
      <c r="G366" s="8"/>
      <c r="H366" s="9"/>
      <c r="I366" s="9"/>
      <c r="J366" s="9"/>
      <c r="K366" s="7"/>
      <c r="L366" s="7"/>
      <c r="M366" s="9" t="str">
        <f aca="false">IF(AND(H366&lt;&gt;"",I366&lt;&gt;"",K366&lt;&gt;""),ABS(H366-I366)*K366,"")</f>
        <v/>
      </c>
      <c r="N366" s="9"/>
      <c r="O366" s="7"/>
      <c r="P366" s="9" t="str">
        <f aca="false">IF(N366&lt;&gt;"",(N366-H366)*K366*IF(E366="Buy",1,-1),"")</f>
        <v/>
      </c>
      <c r="Q366" s="10" t="str">
        <f aca="false">IF(AND(P366&lt;&gt;"",H366&lt;&gt;0,K366&lt;&gt;0),P366/(H366*K366),"")</f>
        <v/>
      </c>
      <c r="R366" s="11" t="str">
        <f aca="false">IF(AND(N366&lt;&gt;"",H366&lt;&gt;I366),IF(E366="Buy",(N366-H366)/(H366-I366),(H366-N366)/(I366-H366)),"")</f>
        <v/>
      </c>
      <c r="S366" s="7" t="str">
        <f aca="false">IF(D366="","",IF(N366&lt;&gt;"","Closed","Open"))</f>
        <v/>
      </c>
      <c r="T366" s="7"/>
    </row>
    <row r="367" customFormat="false" ht="15" hidden="false" customHeight="false" outlineLevel="0" collapsed="false">
      <c r="A367" s="7"/>
      <c r="B367" s="7"/>
      <c r="C367" s="7"/>
      <c r="D367" s="7"/>
      <c r="E367" s="7"/>
      <c r="F367" s="7"/>
      <c r="G367" s="8"/>
      <c r="H367" s="9"/>
      <c r="I367" s="9"/>
      <c r="J367" s="9"/>
      <c r="K367" s="7"/>
      <c r="L367" s="7"/>
      <c r="M367" s="9" t="str">
        <f aca="false">IF(AND(H367&lt;&gt;"",I367&lt;&gt;"",K367&lt;&gt;""),ABS(H367-I367)*K367,"")</f>
        <v/>
      </c>
      <c r="N367" s="9"/>
      <c r="O367" s="7"/>
      <c r="P367" s="9" t="str">
        <f aca="false">IF(N367&lt;&gt;"",(N367-H367)*K367*IF(E367="Buy",1,-1),"")</f>
        <v/>
      </c>
      <c r="Q367" s="10" t="str">
        <f aca="false">IF(AND(P367&lt;&gt;"",H367&lt;&gt;0,K367&lt;&gt;0),P367/(H367*K367),"")</f>
        <v/>
      </c>
      <c r="R367" s="11" t="str">
        <f aca="false">IF(AND(N367&lt;&gt;"",H367&lt;&gt;I367),IF(E367="Buy",(N367-H367)/(H367-I367),(H367-N367)/(I367-H367)),"")</f>
        <v/>
      </c>
      <c r="S367" s="7" t="str">
        <f aca="false">IF(D367="","",IF(N367&lt;&gt;"","Closed","Open"))</f>
        <v/>
      </c>
      <c r="T367" s="7"/>
    </row>
    <row r="368" customFormat="false" ht="15" hidden="false" customHeight="false" outlineLevel="0" collapsed="false">
      <c r="A368" s="7"/>
      <c r="B368" s="7"/>
      <c r="C368" s="7"/>
      <c r="D368" s="7"/>
      <c r="E368" s="7"/>
      <c r="F368" s="7"/>
      <c r="G368" s="8"/>
      <c r="H368" s="9"/>
      <c r="I368" s="9"/>
      <c r="J368" s="9"/>
      <c r="K368" s="7"/>
      <c r="L368" s="7"/>
      <c r="M368" s="9" t="str">
        <f aca="false">IF(AND(H368&lt;&gt;"",I368&lt;&gt;"",K368&lt;&gt;""),ABS(H368-I368)*K368,"")</f>
        <v/>
      </c>
      <c r="N368" s="9"/>
      <c r="O368" s="7"/>
      <c r="P368" s="9" t="str">
        <f aca="false">IF(N368&lt;&gt;"",(N368-H368)*K368*IF(E368="Buy",1,-1),"")</f>
        <v/>
      </c>
      <c r="Q368" s="10" t="str">
        <f aca="false">IF(AND(P368&lt;&gt;"",H368&lt;&gt;0,K368&lt;&gt;0),P368/(H368*K368),"")</f>
        <v/>
      </c>
      <c r="R368" s="11" t="str">
        <f aca="false">IF(AND(N368&lt;&gt;"",H368&lt;&gt;I368),IF(E368="Buy",(N368-H368)/(H368-I368),(H368-N368)/(I368-H368)),"")</f>
        <v/>
      </c>
      <c r="S368" s="7" t="str">
        <f aca="false">IF(D368="","",IF(N368&lt;&gt;"","Closed","Open"))</f>
        <v/>
      </c>
      <c r="T368" s="7"/>
    </row>
    <row r="369" customFormat="false" ht="15" hidden="false" customHeight="false" outlineLevel="0" collapsed="false">
      <c r="A369" s="7"/>
      <c r="B369" s="7"/>
      <c r="C369" s="7"/>
      <c r="D369" s="7"/>
      <c r="E369" s="7"/>
      <c r="F369" s="7"/>
      <c r="G369" s="8"/>
      <c r="H369" s="9"/>
      <c r="I369" s="9"/>
      <c r="J369" s="9"/>
      <c r="K369" s="7"/>
      <c r="L369" s="7"/>
      <c r="M369" s="9" t="str">
        <f aca="false">IF(AND(H369&lt;&gt;"",I369&lt;&gt;"",K369&lt;&gt;""),ABS(H369-I369)*K369,"")</f>
        <v/>
      </c>
      <c r="N369" s="9"/>
      <c r="O369" s="7"/>
      <c r="P369" s="9" t="str">
        <f aca="false">IF(N369&lt;&gt;"",(N369-H369)*K369*IF(E369="Buy",1,-1),"")</f>
        <v/>
      </c>
      <c r="Q369" s="10" t="str">
        <f aca="false">IF(AND(P369&lt;&gt;"",H369&lt;&gt;0,K369&lt;&gt;0),P369/(H369*K369),"")</f>
        <v/>
      </c>
      <c r="R369" s="11" t="str">
        <f aca="false">IF(AND(N369&lt;&gt;"",H369&lt;&gt;I369),IF(E369="Buy",(N369-H369)/(H369-I369),(H369-N369)/(I369-H369)),"")</f>
        <v/>
      </c>
      <c r="S369" s="7" t="str">
        <f aca="false">IF(D369="","",IF(N369&lt;&gt;"","Closed","Open"))</f>
        <v/>
      </c>
      <c r="T369" s="7"/>
    </row>
    <row r="370" customFormat="false" ht="15" hidden="false" customHeight="false" outlineLevel="0" collapsed="false">
      <c r="A370" s="7"/>
      <c r="B370" s="7"/>
      <c r="C370" s="7"/>
      <c r="D370" s="7"/>
      <c r="E370" s="7"/>
      <c r="F370" s="7"/>
      <c r="G370" s="8"/>
      <c r="H370" s="9"/>
      <c r="I370" s="9"/>
      <c r="J370" s="9"/>
      <c r="K370" s="7"/>
      <c r="L370" s="7"/>
      <c r="M370" s="9" t="str">
        <f aca="false">IF(AND(H370&lt;&gt;"",I370&lt;&gt;"",K370&lt;&gt;""),ABS(H370-I370)*K370,"")</f>
        <v/>
      </c>
      <c r="N370" s="9"/>
      <c r="O370" s="7"/>
      <c r="P370" s="9" t="str">
        <f aca="false">IF(N370&lt;&gt;"",(N370-H370)*K370*IF(E370="Buy",1,-1),"")</f>
        <v/>
      </c>
      <c r="Q370" s="10" t="str">
        <f aca="false">IF(AND(P370&lt;&gt;"",H370&lt;&gt;0,K370&lt;&gt;0),P370/(H370*K370),"")</f>
        <v/>
      </c>
      <c r="R370" s="11" t="str">
        <f aca="false">IF(AND(N370&lt;&gt;"",H370&lt;&gt;I370),IF(E370="Buy",(N370-H370)/(H370-I370),(H370-N370)/(I370-H370)),"")</f>
        <v/>
      </c>
      <c r="S370" s="7" t="str">
        <f aca="false">IF(D370="","",IF(N370&lt;&gt;"","Closed","Open"))</f>
        <v/>
      </c>
      <c r="T370" s="7"/>
    </row>
    <row r="371" customFormat="false" ht="15" hidden="false" customHeight="false" outlineLevel="0" collapsed="false">
      <c r="A371" s="7"/>
      <c r="B371" s="7"/>
      <c r="C371" s="7"/>
      <c r="D371" s="7"/>
      <c r="E371" s="7"/>
      <c r="F371" s="7"/>
      <c r="G371" s="8"/>
      <c r="H371" s="9"/>
      <c r="I371" s="9"/>
      <c r="J371" s="9"/>
      <c r="K371" s="7"/>
      <c r="L371" s="7"/>
      <c r="M371" s="9" t="str">
        <f aca="false">IF(AND(H371&lt;&gt;"",I371&lt;&gt;"",K371&lt;&gt;""),ABS(H371-I371)*K371,"")</f>
        <v/>
      </c>
      <c r="N371" s="9"/>
      <c r="O371" s="7"/>
      <c r="P371" s="9" t="str">
        <f aca="false">IF(N371&lt;&gt;"",(N371-H371)*K371*IF(E371="Buy",1,-1),"")</f>
        <v/>
      </c>
      <c r="Q371" s="10" t="str">
        <f aca="false">IF(AND(P371&lt;&gt;"",H371&lt;&gt;0,K371&lt;&gt;0),P371/(H371*K371),"")</f>
        <v/>
      </c>
      <c r="R371" s="11" t="str">
        <f aca="false">IF(AND(N371&lt;&gt;"",H371&lt;&gt;I371),IF(E371="Buy",(N371-H371)/(H371-I371),(H371-N371)/(I371-H371)),"")</f>
        <v/>
      </c>
      <c r="S371" s="7" t="str">
        <f aca="false">IF(D371="","",IF(N371&lt;&gt;"","Closed","Open"))</f>
        <v/>
      </c>
      <c r="T371" s="7"/>
    </row>
    <row r="372" customFormat="false" ht="15" hidden="false" customHeight="false" outlineLevel="0" collapsed="false">
      <c r="A372" s="7"/>
      <c r="B372" s="7"/>
      <c r="C372" s="7"/>
      <c r="D372" s="7"/>
      <c r="E372" s="7"/>
      <c r="F372" s="7"/>
      <c r="G372" s="8"/>
      <c r="H372" s="9"/>
      <c r="I372" s="9"/>
      <c r="J372" s="9"/>
      <c r="K372" s="7"/>
      <c r="L372" s="7"/>
      <c r="M372" s="9" t="str">
        <f aca="false">IF(AND(H372&lt;&gt;"",I372&lt;&gt;"",K372&lt;&gt;""),ABS(H372-I372)*K372,"")</f>
        <v/>
      </c>
      <c r="N372" s="9"/>
      <c r="O372" s="7"/>
      <c r="P372" s="9" t="str">
        <f aca="false">IF(N372&lt;&gt;"",(N372-H372)*K372*IF(E372="Buy",1,-1),"")</f>
        <v/>
      </c>
      <c r="Q372" s="10" t="str">
        <f aca="false">IF(AND(P372&lt;&gt;"",H372&lt;&gt;0,K372&lt;&gt;0),P372/(H372*K372),"")</f>
        <v/>
      </c>
      <c r="R372" s="11" t="str">
        <f aca="false">IF(AND(N372&lt;&gt;"",H372&lt;&gt;I372),IF(E372="Buy",(N372-H372)/(H372-I372),(H372-N372)/(I372-H372)),"")</f>
        <v/>
      </c>
      <c r="S372" s="7" t="str">
        <f aca="false">IF(D372="","",IF(N372&lt;&gt;"","Closed","Open"))</f>
        <v/>
      </c>
      <c r="T372" s="7"/>
    </row>
    <row r="373" customFormat="false" ht="15" hidden="false" customHeight="false" outlineLevel="0" collapsed="false">
      <c r="A373" s="7"/>
      <c r="B373" s="7"/>
      <c r="C373" s="7"/>
      <c r="D373" s="7"/>
      <c r="E373" s="7"/>
      <c r="F373" s="7"/>
      <c r="G373" s="8"/>
      <c r="H373" s="9"/>
      <c r="I373" s="9"/>
      <c r="J373" s="9"/>
      <c r="K373" s="7"/>
      <c r="L373" s="7"/>
      <c r="M373" s="9" t="str">
        <f aca="false">IF(AND(H373&lt;&gt;"",I373&lt;&gt;"",K373&lt;&gt;""),ABS(H373-I373)*K373,"")</f>
        <v/>
      </c>
      <c r="N373" s="9"/>
      <c r="O373" s="7"/>
      <c r="P373" s="9" t="str">
        <f aca="false">IF(N373&lt;&gt;"",(N373-H373)*K373*IF(E373="Buy",1,-1),"")</f>
        <v/>
      </c>
      <c r="Q373" s="10" t="str">
        <f aca="false">IF(AND(P373&lt;&gt;"",H373&lt;&gt;0,K373&lt;&gt;0),P373/(H373*K373),"")</f>
        <v/>
      </c>
      <c r="R373" s="11" t="str">
        <f aca="false">IF(AND(N373&lt;&gt;"",H373&lt;&gt;I373),IF(E373="Buy",(N373-H373)/(H373-I373),(H373-N373)/(I373-H373)),"")</f>
        <v/>
      </c>
      <c r="S373" s="7" t="str">
        <f aca="false">IF(D373="","",IF(N373&lt;&gt;"","Closed","Open"))</f>
        <v/>
      </c>
      <c r="T373" s="7"/>
    </row>
    <row r="374" customFormat="false" ht="15" hidden="false" customHeight="false" outlineLevel="0" collapsed="false">
      <c r="A374" s="7"/>
      <c r="B374" s="7"/>
      <c r="C374" s="7"/>
      <c r="D374" s="7"/>
      <c r="E374" s="7"/>
      <c r="F374" s="7"/>
      <c r="G374" s="8"/>
      <c r="H374" s="9"/>
      <c r="I374" s="9"/>
      <c r="J374" s="9"/>
      <c r="K374" s="7"/>
      <c r="L374" s="7"/>
      <c r="M374" s="9" t="str">
        <f aca="false">IF(AND(H374&lt;&gt;"",I374&lt;&gt;"",K374&lt;&gt;""),ABS(H374-I374)*K374,"")</f>
        <v/>
      </c>
      <c r="N374" s="9"/>
      <c r="O374" s="7"/>
      <c r="P374" s="9" t="str">
        <f aca="false">IF(N374&lt;&gt;"",(N374-H374)*K374*IF(E374="Buy",1,-1),"")</f>
        <v/>
      </c>
      <c r="Q374" s="10" t="str">
        <f aca="false">IF(AND(P374&lt;&gt;"",H374&lt;&gt;0,K374&lt;&gt;0),P374/(H374*K374),"")</f>
        <v/>
      </c>
      <c r="R374" s="11" t="str">
        <f aca="false">IF(AND(N374&lt;&gt;"",H374&lt;&gt;I374),IF(E374="Buy",(N374-H374)/(H374-I374),(H374-N374)/(I374-H374)),"")</f>
        <v/>
      </c>
      <c r="S374" s="7" t="str">
        <f aca="false">IF(D374="","",IF(N374&lt;&gt;"","Closed","Open"))</f>
        <v/>
      </c>
      <c r="T374" s="7"/>
    </row>
    <row r="375" customFormat="false" ht="15" hidden="false" customHeight="false" outlineLevel="0" collapsed="false">
      <c r="A375" s="7"/>
      <c r="B375" s="7"/>
      <c r="C375" s="7"/>
      <c r="D375" s="7"/>
      <c r="E375" s="7"/>
      <c r="F375" s="7"/>
      <c r="G375" s="8"/>
      <c r="H375" s="9"/>
      <c r="I375" s="9"/>
      <c r="J375" s="9"/>
      <c r="K375" s="7"/>
      <c r="L375" s="7"/>
      <c r="M375" s="9" t="str">
        <f aca="false">IF(AND(H375&lt;&gt;"",I375&lt;&gt;"",K375&lt;&gt;""),ABS(H375-I375)*K375,"")</f>
        <v/>
      </c>
      <c r="N375" s="9"/>
      <c r="O375" s="7"/>
      <c r="P375" s="9" t="str">
        <f aca="false">IF(N375&lt;&gt;"",(N375-H375)*K375*IF(E375="Buy",1,-1),"")</f>
        <v/>
      </c>
      <c r="Q375" s="10" t="str">
        <f aca="false">IF(AND(P375&lt;&gt;"",H375&lt;&gt;0,K375&lt;&gt;0),P375/(H375*K375),"")</f>
        <v/>
      </c>
      <c r="R375" s="11" t="str">
        <f aca="false">IF(AND(N375&lt;&gt;"",H375&lt;&gt;I375),IF(E375="Buy",(N375-H375)/(H375-I375),(H375-N375)/(I375-H375)),"")</f>
        <v/>
      </c>
      <c r="S375" s="7" t="str">
        <f aca="false">IF(D375="","",IF(N375&lt;&gt;"","Closed","Open"))</f>
        <v/>
      </c>
      <c r="T375" s="7"/>
    </row>
    <row r="376" customFormat="false" ht="15" hidden="false" customHeight="false" outlineLevel="0" collapsed="false">
      <c r="A376" s="7"/>
      <c r="B376" s="7"/>
      <c r="C376" s="7"/>
      <c r="D376" s="7"/>
      <c r="E376" s="7"/>
      <c r="F376" s="7"/>
      <c r="G376" s="8"/>
      <c r="H376" s="9"/>
      <c r="I376" s="9"/>
      <c r="J376" s="9"/>
      <c r="K376" s="7"/>
      <c r="L376" s="7"/>
      <c r="M376" s="9" t="str">
        <f aca="false">IF(AND(H376&lt;&gt;"",I376&lt;&gt;"",K376&lt;&gt;""),ABS(H376-I376)*K376,"")</f>
        <v/>
      </c>
      <c r="N376" s="9"/>
      <c r="O376" s="7"/>
      <c r="P376" s="9" t="str">
        <f aca="false">IF(N376&lt;&gt;"",(N376-H376)*K376*IF(E376="Buy",1,-1),"")</f>
        <v/>
      </c>
      <c r="Q376" s="10" t="str">
        <f aca="false">IF(AND(P376&lt;&gt;"",H376&lt;&gt;0,K376&lt;&gt;0),P376/(H376*K376),"")</f>
        <v/>
      </c>
      <c r="R376" s="11" t="str">
        <f aca="false">IF(AND(N376&lt;&gt;"",H376&lt;&gt;I376),IF(E376="Buy",(N376-H376)/(H376-I376),(H376-N376)/(I376-H376)),"")</f>
        <v/>
      </c>
      <c r="S376" s="7" t="str">
        <f aca="false">IF(D376="","",IF(N376&lt;&gt;"","Closed","Open"))</f>
        <v/>
      </c>
      <c r="T376" s="7"/>
    </row>
    <row r="377" customFormat="false" ht="15" hidden="false" customHeight="false" outlineLevel="0" collapsed="false">
      <c r="A377" s="7"/>
      <c r="B377" s="7"/>
      <c r="C377" s="7"/>
      <c r="D377" s="7"/>
      <c r="E377" s="7"/>
      <c r="F377" s="7"/>
      <c r="G377" s="8"/>
      <c r="H377" s="9"/>
      <c r="I377" s="9"/>
      <c r="J377" s="9"/>
      <c r="K377" s="7"/>
      <c r="L377" s="7"/>
      <c r="M377" s="9" t="str">
        <f aca="false">IF(AND(H377&lt;&gt;"",I377&lt;&gt;"",K377&lt;&gt;""),ABS(H377-I377)*K377,"")</f>
        <v/>
      </c>
      <c r="N377" s="9"/>
      <c r="O377" s="7"/>
      <c r="P377" s="9" t="str">
        <f aca="false">IF(N377&lt;&gt;"",(N377-H377)*K377*IF(E377="Buy",1,-1),"")</f>
        <v/>
      </c>
      <c r="Q377" s="10" t="str">
        <f aca="false">IF(AND(P377&lt;&gt;"",H377&lt;&gt;0,K377&lt;&gt;0),P377/(H377*K377),"")</f>
        <v/>
      </c>
      <c r="R377" s="11" t="str">
        <f aca="false">IF(AND(N377&lt;&gt;"",H377&lt;&gt;I377),IF(E377="Buy",(N377-H377)/(H377-I377),(H377-N377)/(I377-H377)),"")</f>
        <v/>
      </c>
      <c r="S377" s="7" t="str">
        <f aca="false">IF(D377="","",IF(N377&lt;&gt;"","Closed","Open"))</f>
        <v/>
      </c>
      <c r="T377" s="7"/>
    </row>
    <row r="378" customFormat="false" ht="15" hidden="false" customHeight="false" outlineLevel="0" collapsed="false">
      <c r="A378" s="7"/>
      <c r="B378" s="7"/>
      <c r="C378" s="7"/>
      <c r="D378" s="7"/>
      <c r="E378" s="7"/>
      <c r="F378" s="7"/>
      <c r="G378" s="8"/>
      <c r="H378" s="9"/>
      <c r="I378" s="9"/>
      <c r="J378" s="9"/>
      <c r="K378" s="7"/>
      <c r="L378" s="7"/>
      <c r="M378" s="9" t="str">
        <f aca="false">IF(AND(H378&lt;&gt;"",I378&lt;&gt;"",K378&lt;&gt;""),ABS(H378-I378)*K378,"")</f>
        <v/>
      </c>
      <c r="N378" s="9"/>
      <c r="O378" s="7"/>
      <c r="P378" s="9" t="str">
        <f aca="false">IF(N378&lt;&gt;"",(N378-H378)*K378*IF(E378="Buy",1,-1),"")</f>
        <v/>
      </c>
      <c r="Q378" s="10" t="str">
        <f aca="false">IF(AND(P378&lt;&gt;"",H378&lt;&gt;0,K378&lt;&gt;0),P378/(H378*K378),"")</f>
        <v/>
      </c>
      <c r="R378" s="11" t="str">
        <f aca="false">IF(AND(N378&lt;&gt;"",H378&lt;&gt;I378),IF(E378="Buy",(N378-H378)/(H378-I378),(H378-N378)/(I378-H378)),"")</f>
        <v/>
      </c>
      <c r="S378" s="7" t="str">
        <f aca="false">IF(D378="","",IF(N378&lt;&gt;"","Closed","Open"))</f>
        <v/>
      </c>
      <c r="T378" s="7"/>
    </row>
    <row r="379" customFormat="false" ht="15" hidden="false" customHeight="false" outlineLevel="0" collapsed="false">
      <c r="A379" s="7"/>
      <c r="B379" s="7"/>
      <c r="C379" s="7"/>
      <c r="D379" s="7"/>
      <c r="E379" s="7"/>
      <c r="F379" s="7"/>
      <c r="G379" s="8"/>
      <c r="H379" s="9"/>
      <c r="I379" s="9"/>
      <c r="J379" s="9"/>
      <c r="K379" s="7"/>
      <c r="L379" s="7"/>
      <c r="M379" s="9" t="str">
        <f aca="false">IF(AND(H379&lt;&gt;"",I379&lt;&gt;"",K379&lt;&gt;""),ABS(H379-I379)*K379,"")</f>
        <v/>
      </c>
      <c r="N379" s="9"/>
      <c r="O379" s="7"/>
      <c r="P379" s="9" t="str">
        <f aca="false">IF(N379&lt;&gt;"",(N379-H379)*K379*IF(E379="Buy",1,-1),"")</f>
        <v/>
      </c>
      <c r="Q379" s="10" t="str">
        <f aca="false">IF(AND(P379&lt;&gt;"",H379&lt;&gt;0,K379&lt;&gt;0),P379/(H379*K379),"")</f>
        <v/>
      </c>
      <c r="R379" s="11" t="str">
        <f aca="false">IF(AND(N379&lt;&gt;"",H379&lt;&gt;I379),IF(E379="Buy",(N379-H379)/(H379-I379),(H379-N379)/(I379-H379)),"")</f>
        <v/>
      </c>
      <c r="S379" s="7" t="str">
        <f aca="false">IF(D379="","",IF(N379&lt;&gt;"","Closed","Open"))</f>
        <v/>
      </c>
      <c r="T379" s="7"/>
    </row>
    <row r="380" customFormat="false" ht="15" hidden="false" customHeight="false" outlineLevel="0" collapsed="false">
      <c r="A380" s="7"/>
      <c r="B380" s="7"/>
      <c r="C380" s="7"/>
      <c r="D380" s="7"/>
      <c r="E380" s="7"/>
      <c r="F380" s="7"/>
      <c r="G380" s="8"/>
      <c r="H380" s="9"/>
      <c r="I380" s="9"/>
      <c r="J380" s="9"/>
      <c r="K380" s="7"/>
      <c r="L380" s="7"/>
      <c r="M380" s="9" t="str">
        <f aca="false">IF(AND(H380&lt;&gt;"",I380&lt;&gt;"",K380&lt;&gt;""),ABS(H380-I380)*K380,"")</f>
        <v/>
      </c>
      <c r="N380" s="9"/>
      <c r="O380" s="7"/>
      <c r="P380" s="9" t="str">
        <f aca="false">IF(N380&lt;&gt;"",(N380-H380)*K380*IF(E380="Buy",1,-1),"")</f>
        <v/>
      </c>
      <c r="Q380" s="10" t="str">
        <f aca="false">IF(AND(P380&lt;&gt;"",H380&lt;&gt;0,K380&lt;&gt;0),P380/(H380*K380),"")</f>
        <v/>
      </c>
      <c r="R380" s="11" t="str">
        <f aca="false">IF(AND(N380&lt;&gt;"",H380&lt;&gt;I380),IF(E380="Buy",(N380-H380)/(H380-I380),(H380-N380)/(I380-H380)),"")</f>
        <v/>
      </c>
      <c r="S380" s="7" t="str">
        <f aca="false">IF(D380="","",IF(N380&lt;&gt;"","Closed","Open"))</f>
        <v/>
      </c>
      <c r="T380" s="7"/>
    </row>
    <row r="381" customFormat="false" ht="15" hidden="false" customHeight="false" outlineLevel="0" collapsed="false">
      <c r="A381" s="7"/>
      <c r="B381" s="7"/>
      <c r="C381" s="7"/>
      <c r="D381" s="7"/>
      <c r="E381" s="7"/>
      <c r="F381" s="7"/>
      <c r="G381" s="8"/>
      <c r="H381" s="9"/>
      <c r="I381" s="9"/>
      <c r="J381" s="9"/>
      <c r="K381" s="7"/>
      <c r="L381" s="7"/>
      <c r="M381" s="9" t="str">
        <f aca="false">IF(AND(H381&lt;&gt;"",I381&lt;&gt;"",K381&lt;&gt;""),ABS(H381-I381)*K381,"")</f>
        <v/>
      </c>
      <c r="N381" s="9"/>
      <c r="O381" s="7"/>
      <c r="P381" s="9" t="str">
        <f aca="false">IF(N381&lt;&gt;"",(N381-H381)*K381*IF(E381="Buy",1,-1),"")</f>
        <v/>
      </c>
      <c r="Q381" s="10" t="str">
        <f aca="false">IF(AND(P381&lt;&gt;"",H381&lt;&gt;0,K381&lt;&gt;0),P381/(H381*K381),"")</f>
        <v/>
      </c>
      <c r="R381" s="11" t="str">
        <f aca="false">IF(AND(N381&lt;&gt;"",H381&lt;&gt;I381),IF(E381="Buy",(N381-H381)/(H381-I381),(H381-N381)/(I381-H381)),"")</f>
        <v/>
      </c>
      <c r="S381" s="7" t="str">
        <f aca="false">IF(D381="","",IF(N381&lt;&gt;"","Closed","Open"))</f>
        <v/>
      </c>
      <c r="T381" s="7"/>
    </row>
    <row r="382" customFormat="false" ht="15" hidden="false" customHeight="false" outlineLevel="0" collapsed="false">
      <c r="A382" s="7"/>
      <c r="B382" s="7"/>
      <c r="C382" s="7"/>
      <c r="D382" s="7"/>
      <c r="E382" s="7"/>
      <c r="F382" s="7"/>
      <c r="G382" s="8"/>
      <c r="H382" s="9"/>
      <c r="I382" s="9"/>
      <c r="J382" s="9"/>
      <c r="K382" s="7"/>
      <c r="L382" s="7"/>
      <c r="M382" s="9" t="str">
        <f aca="false">IF(AND(H382&lt;&gt;"",I382&lt;&gt;"",K382&lt;&gt;""),ABS(H382-I382)*K382,"")</f>
        <v/>
      </c>
      <c r="N382" s="9"/>
      <c r="O382" s="7"/>
      <c r="P382" s="9" t="str">
        <f aca="false">IF(N382&lt;&gt;"",(N382-H382)*K382*IF(E382="Buy",1,-1),"")</f>
        <v/>
      </c>
      <c r="Q382" s="10" t="str">
        <f aca="false">IF(AND(P382&lt;&gt;"",H382&lt;&gt;0,K382&lt;&gt;0),P382/(H382*K382),"")</f>
        <v/>
      </c>
      <c r="R382" s="11" t="str">
        <f aca="false">IF(AND(N382&lt;&gt;"",H382&lt;&gt;I382),IF(E382="Buy",(N382-H382)/(H382-I382),(H382-N382)/(I382-H382)),"")</f>
        <v/>
      </c>
      <c r="S382" s="7" t="str">
        <f aca="false">IF(D382="","",IF(N382&lt;&gt;"","Closed","Open"))</f>
        <v/>
      </c>
      <c r="T382" s="7"/>
    </row>
    <row r="383" customFormat="false" ht="15" hidden="false" customHeight="false" outlineLevel="0" collapsed="false">
      <c r="A383" s="7"/>
      <c r="B383" s="7"/>
      <c r="C383" s="7"/>
      <c r="D383" s="7"/>
      <c r="E383" s="7"/>
      <c r="F383" s="7"/>
      <c r="G383" s="8"/>
      <c r="H383" s="9"/>
      <c r="I383" s="9"/>
      <c r="J383" s="9"/>
      <c r="K383" s="7"/>
      <c r="L383" s="7"/>
      <c r="M383" s="9" t="str">
        <f aca="false">IF(AND(H383&lt;&gt;"",I383&lt;&gt;"",K383&lt;&gt;""),ABS(H383-I383)*K383,"")</f>
        <v/>
      </c>
      <c r="N383" s="9"/>
      <c r="O383" s="7"/>
      <c r="P383" s="9" t="str">
        <f aca="false">IF(N383&lt;&gt;"",(N383-H383)*K383*IF(E383="Buy",1,-1),"")</f>
        <v/>
      </c>
      <c r="Q383" s="10" t="str">
        <f aca="false">IF(AND(P383&lt;&gt;"",H383&lt;&gt;0,K383&lt;&gt;0),P383/(H383*K383),"")</f>
        <v/>
      </c>
      <c r="R383" s="11" t="str">
        <f aca="false">IF(AND(N383&lt;&gt;"",H383&lt;&gt;I383),IF(E383="Buy",(N383-H383)/(H383-I383),(H383-N383)/(I383-H383)),"")</f>
        <v/>
      </c>
      <c r="S383" s="7" t="str">
        <f aca="false">IF(D383="","",IF(N383&lt;&gt;"","Closed","Open"))</f>
        <v/>
      </c>
      <c r="T383" s="7"/>
    </row>
    <row r="384" customFormat="false" ht="15" hidden="false" customHeight="false" outlineLevel="0" collapsed="false">
      <c r="A384" s="7"/>
      <c r="B384" s="7"/>
      <c r="C384" s="7"/>
      <c r="D384" s="7"/>
      <c r="E384" s="7"/>
      <c r="F384" s="7"/>
      <c r="G384" s="8"/>
      <c r="H384" s="9"/>
      <c r="I384" s="9"/>
      <c r="J384" s="9"/>
      <c r="K384" s="7"/>
      <c r="L384" s="7"/>
      <c r="M384" s="9" t="str">
        <f aca="false">IF(AND(H384&lt;&gt;"",I384&lt;&gt;"",K384&lt;&gt;""),ABS(H384-I384)*K384,"")</f>
        <v/>
      </c>
      <c r="N384" s="9"/>
      <c r="O384" s="7"/>
      <c r="P384" s="9" t="str">
        <f aca="false">IF(N384&lt;&gt;"",(N384-H384)*K384*IF(E384="Buy",1,-1),"")</f>
        <v/>
      </c>
      <c r="Q384" s="10" t="str">
        <f aca="false">IF(AND(P384&lt;&gt;"",H384&lt;&gt;0,K384&lt;&gt;0),P384/(H384*K384),"")</f>
        <v/>
      </c>
      <c r="R384" s="11" t="str">
        <f aca="false">IF(AND(N384&lt;&gt;"",H384&lt;&gt;I384),IF(E384="Buy",(N384-H384)/(H384-I384),(H384-N384)/(I384-H384)),"")</f>
        <v/>
      </c>
      <c r="S384" s="7" t="str">
        <f aca="false">IF(D384="","",IF(N384&lt;&gt;"","Closed","Open"))</f>
        <v/>
      </c>
      <c r="T384" s="7"/>
    </row>
    <row r="385" customFormat="false" ht="15" hidden="false" customHeight="false" outlineLevel="0" collapsed="false">
      <c r="A385" s="7"/>
      <c r="B385" s="7"/>
      <c r="C385" s="7"/>
      <c r="D385" s="7"/>
      <c r="E385" s="7"/>
      <c r="F385" s="7"/>
      <c r="G385" s="8"/>
      <c r="H385" s="9"/>
      <c r="I385" s="9"/>
      <c r="J385" s="9"/>
      <c r="K385" s="7"/>
      <c r="L385" s="7"/>
      <c r="M385" s="9" t="str">
        <f aca="false">IF(AND(H385&lt;&gt;"",I385&lt;&gt;"",K385&lt;&gt;""),ABS(H385-I385)*K385,"")</f>
        <v/>
      </c>
      <c r="N385" s="9"/>
      <c r="O385" s="7"/>
      <c r="P385" s="9" t="str">
        <f aca="false">IF(N385&lt;&gt;"",(N385-H385)*K385*IF(E385="Buy",1,-1),"")</f>
        <v/>
      </c>
      <c r="Q385" s="10" t="str">
        <f aca="false">IF(AND(P385&lt;&gt;"",H385&lt;&gt;0,K385&lt;&gt;0),P385/(H385*K385),"")</f>
        <v/>
      </c>
      <c r="R385" s="11" t="str">
        <f aca="false">IF(AND(N385&lt;&gt;"",H385&lt;&gt;I385),IF(E385="Buy",(N385-H385)/(H385-I385),(H385-N385)/(I385-H385)),"")</f>
        <v/>
      </c>
      <c r="S385" s="7" t="str">
        <f aca="false">IF(D385="","",IF(N385&lt;&gt;"","Closed","Open"))</f>
        <v/>
      </c>
      <c r="T385" s="7"/>
    </row>
    <row r="386" customFormat="false" ht="15" hidden="false" customHeight="false" outlineLevel="0" collapsed="false">
      <c r="A386" s="7"/>
      <c r="B386" s="7"/>
      <c r="C386" s="7"/>
      <c r="D386" s="7"/>
      <c r="E386" s="7"/>
      <c r="F386" s="7"/>
      <c r="G386" s="8"/>
      <c r="H386" s="9"/>
      <c r="I386" s="9"/>
      <c r="J386" s="9"/>
      <c r="K386" s="7"/>
      <c r="L386" s="7"/>
      <c r="M386" s="9" t="str">
        <f aca="false">IF(AND(H386&lt;&gt;"",I386&lt;&gt;"",K386&lt;&gt;""),ABS(H386-I386)*K386,"")</f>
        <v/>
      </c>
      <c r="N386" s="9"/>
      <c r="O386" s="7"/>
      <c r="P386" s="9" t="str">
        <f aca="false">IF(N386&lt;&gt;"",(N386-H386)*K386*IF(E386="Buy",1,-1),"")</f>
        <v/>
      </c>
      <c r="Q386" s="10" t="str">
        <f aca="false">IF(AND(P386&lt;&gt;"",H386&lt;&gt;0,K386&lt;&gt;0),P386/(H386*K386),"")</f>
        <v/>
      </c>
      <c r="R386" s="11" t="str">
        <f aca="false">IF(AND(N386&lt;&gt;"",H386&lt;&gt;I386),IF(E386="Buy",(N386-H386)/(H386-I386),(H386-N386)/(I386-H386)),"")</f>
        <v/>
      </c>
      <c r="S386" s="7" t="str">
        <f aca="false">IF(D386="","",IF(N386&lt;&gt;"","Closed","Open"))</f>
        <v/>
      </c>
      <c r="T386" s="7"/>
    </row>
    <row r="387" customFormat="false" ht="15" hidden="false" customHeight="false" outlineLevel="0" collapsed="false">
      <c r="A387" s="7"/>
      <c r="B387" s="7"/>
      <c r="C387" s="7"/>
      <c r="D387" s="7"/>
      <c r="E387" s="7"/>
      <c r="F387" s="7"/>
      <c r="G387" s="8"/>
      <c r="H387" s="9"/>
      <c r="I387" s="9"/>
      <c r="J387" s="9"/>
      <c r="K387" s="7"/>
      <c r="L387" s="7"/>
      <c r="M387" s="9" t="str">
        <f aca="false">IF(AND(H387&lt;&gt;"",I387&lt;&gt;"",K387&lt;&gt;""),ABS(H387-I387)*K387,"")</f>
        <v/>
      </c>
      <c r="N387" s="9"/>
      <c r="O387" s="7"/>
      <c r="P387" s="9" t="str">
        <f aca="false">IF(N387&lt;&gt;"",(N387-H387)*K387*IF(E387="Buy",1,-1),"")</f>
        <v/>
      </c>
      <c r="Q387" s="10" t="str">
        <f aca="false">IF(AND(P387&lt;&gt;"",H387&lt;&gt;0,K387&lt;&gt;0),P387/(H387*K387),"")</f>
        <v/>
      </c>
      <c r="R387" s="11" t="str">
        <f aca="false">IF(AND(N387&lt;&gt;"",H387&lt;&gt;I387),IF(E387="Buy",(N387-H387)/(H387-I387),(H387-N387)/(I387-H387)),"")</f>
        <v/>
      </c>
      <c r="S387" s="7" t="str">
        <f aca="false">IF(D387="","",IF(N387&lt;&gt;"","Closed","Open"))</f>
        <v/>
      </c>
      <c r="T387" s="7"/>
    </row>
    <row r="388" customFormat="false" ht="15" hidden="false" customHeight="false" outlineLevel="0" collapsed="false">
      <c r="A388" s="7"/>
      <c r="B388" s="7"/>
      <c r="C388" s="7"/>
      <c r="D388" s="7"/>
      <c r="E388" s="7"/>
      <c r="F388" s="7"/>
      <c r="G388" s="8"/>
      <c r="H388" s="9"/>
      <c r="I388" s="9"/>
      <c r="J388" s="9"/>
      <c r="K388" s="7"/>
      <c r="L388" s="7"/>
      <c r="M388" s="9" t="str">
        <f aca="false">IF(AND(H388&lt;&gt;"",I388&lt;&gt;"",K388&lt;&gt;""),ABS(H388-I388)*K388,"")</f>
        <v/>
      </c>
      <c r="N388" s="9"/>
      <c r="O388" s="7"/>
      <c r="P388" s="9" t="str">
        <f aca="false">IF(N388&lt;&gt;"",(N388-H388)*K388*IF(E388="Buy",1,-1),"")</f>
        <v/>
      </c>
      <c r="Q388" s="10" t="str">
        <f aca="false">IF(AND(P388&lt;&gt;"",H388&lt;&gt;0,K388&lt;&gt;0),P388/(H388*K388),"")</f>
        <v/>
      </c>
      <c r="R388" s="11" t="str">
        <f aca="false">IF(AND(N388&lt;&gt;"",H388&lt;&gt;I388),IF(E388="Buy",(N388-H388)/(H388-I388),(H388-N388)/(I388-H388)),"")</f>
        <v/>
      </c>
      <c r="S388" s="7" t="str">
        <f aca="false">IF(D388="","",IF(N388&lt;&gt;"","Closed","Open"))</f>
        <v/>
      </c>
      <c r="T388" s="7"/>
    </row>
    <row r="389" customFormat="false" ht="15" hidden="false" customHeight="false" outlineLevel="0" collapsed="false">
      <c r="A389" s="7"/>
      <c r="B389" s="7"/>
      <c r="C389" s="7"/>
      <c r="D389" s="7"/>
      <c r="E389" s="7"/>
      <c r="F389" s="7"/>
      <c r="G389" s="8"/>
      <c r="H389" s="9"/>
      <c r="I389" s="9"/>
      <c r="J389" s="9"/>
      <c r="K389" s="7"/>
      <c r="L389" s="7"/>
      <c r="M389" s="9" t="str">
        <f aca="false">IF(AND(H389&lt;&gt;"",I389&lt;&gt;"",K389&lt;&gt;""),ABS(H389-I389)*K389,"")</f>
        <v/>
      </c>
      <c r="N389" s="9"/>
      <c r="O389" s="7"/>
      <c r="P389" s="9" t="str">
        <f aca="false">IF(N389&lt;&gt;"",(N389-H389)*K389*IF(E389="Buy",1,-1),"")</f>
        <v/>
      </c>
      <c r="Q389" s="10" t="str">
        <f aca="false">IF(AND(P389&lt;&gt;"",H389&lt;&gt;0,K389&lt;&gt;0),P389/(H389*K389),"")</f>
        <v/>
      </c>
      <c r="R389" s="11" t="str">
        <f aca="false">IF(AND(N389&lt;&gt;"",H389&lt;&gt;I389),IF(E389="Buy",(N389-H389)/(H389-I389),(H389-N389)/(I389-H389)),"")</f>
        <v/>
      </c>
      <c r="S389" s="7" t="str">
        <f aca="false">IF(D389="","",IF(N389&lt;&gt;"","Closed","Open"))</f>
        <v/>
      </c>
      <c r="T389" s="7"/>
    </row>
    <row r="390" customFormat="false" ht="15" hidden="false" customHeight="false" outlineLevel="0" collapsed="false">
      <c r="A390" s="7"/>
      <c r="B390" s="7"/>
      <c r="C390" s="7"/>
      <c r="D390" s="7"/>
      <c r="E390" s="7"/>
      <c r="F390" s="7"/>
      <c r="G390" s="8"/>
      <c r="H390" s="9"/>
      <c r="I390" s="9"/>
      <c r="J390" s="9"/>
      <c r="K390" s="7"/>
      <c r="L390" s="7"/>
      <c r="M390" s="9" t="str">
        <f aca="false">IF(AND(H390&lt;&gt;"",I390&lt;&gt;"",K390&lt;&gt;""),ABS(H390-I390)*K390,"")</f>
        <v/>
      </c>
      <c r="N390" s="9"/>
      <c r="O390" s="7"/>
      <c r="P390" s="9" t="str">
        <f aca="false">IF(N390&lt;&gt;"",(N390-H390)*K390*IF(E390="Buy",1,-1),"")</f>
        <v/>
      </c>
      <c r="Q390" s="10" t="str">
        <f aca="false">IF(AND(P390&lt;&gt;"",H390&lt;&gt;0,K390&lt;&gt;0),P390/(H390*K390),"")</f>
        <v/>
      </c>
      <c r="R390" s="11" t="str">
        <f aca="false">IF(AND(N390&lt;&gt;"",H390&lt;&gt;I390),IF(E390="Buy",(N390-H390)/(H390-I390),(H390-N390)/(I390-H390)),"")</f>
        <v/>
      </c>
      <c r="S390" s="7" t="str">
        <f aca="false">IF(D390="","",IF(N390&lt;&gt;"","Closed","Open"))</f>
        <v/>
      </c>
      <c r="T390" s="7"/>
    </row>
    <row r="391" customFormat="false" ht="15" hidden="false" customHeight="false" outlineLevel="0" collapsed="false">
      <c r="A391" s="7"/>
      <c r="B391" s="7"/>
      <c r="C391" s="7"/>
      <c r="D391" s="7"/>
      <c r="E391" s="7"/>
      <c r="F391" s="7"/>
      <c r="G391" s="8"/>
      <c r="H391" s="9"/>
      <c r="I391" s="9"/>
      <c r="J391" s="9"/>
      <c r="K391" s="7"/>
      <c r="L391" s="7"/>
      <c r="M391" s="9" t="str">
        <f aca="false">IF(AND(H391&lt;&gt;"",I391&lt;&gt;"",K391&lt;&gt;""),ABS(H391-I391)*K391,"")</f>
        <v/>
      </c>
      <c r="N391" s="9"/>
      <c r="O391" s="7"/>
      <c r="P391" s="9" t="str">
        <f aca="false">IF(N391&lt;&gt;"",(N391-H391)*K391*IF(E391="Buy",1,-1),"")</f>
        <v/>
      </c>
      <c r="Q391" s="10" t="str">
        <f aca="false">IF(AND(P391&lt;&gt;"",H391&lt;&gt;0,K391&lt;&gt;0),P391/(H391*K391),"")</f>
        <v/>
      </c>
      <c r="R391" s="11" t="str">
        <f aca="false">IF(AND(N391&lt;&gt;"",H391&lt;&gt;I391),IF(E391="Buy",(N391-H391)/(H391-I391),(H391-N391)/(I391-H391)),"")</f>
        <v/>
      </c>
      <c r="S391" s="7" t="str">
        <f aca="false">IF(D391="","",IF(N391&lt;&gt;"","Closed","Open"))</f>
        <v/>
      </c>
      <c r="T391" s="7"/>
    </row>
    <row r="392" customFormat="false" ht="15" hidden="false" customHeight="false" outlineLevel="0" collapsed="false">
      <c r="A392" s="7"/>
      <c r="B392" s="7"/>
      <c r="C392" s="7"/>
      <c r="D392" s="7"/>
      <c r="E392" s="7"/>
      <c r="F392" s="7"/>
      <c r="G392" s="8"/>
      <c r="H392" s="9"/>
      <c r="I392" s="9"/>
      <c r="J392" s="9"/>
      <c r="K392" s="7"/>
      <c r="L392" s="7"/>
      <c r="M392" s="9" t="str">
        <f aca="false">IF(AND(H392&lt;&gt;"",I392&lt;&gt;"",K392&lt;&gt;""),ABS(H392-I392)*K392,"")</f>
        <v/>
      </c>
      <c r="N392" s="9"/>
      <c r="O392" s="7"/>
      <c r="P392" s="9" t="str">
        <f aca="false">IF(N392&lt;&gt;"",(N392-H392)*K392*IF(E392="Buy",1,-1),"")</f>
        <v/>
      </c>
      <c r="Q392" s="10" t="str">
        <f aca="false">IF(AND(P392&lt;&gt;"",H392&lt;&gt;0,K392&lt;&gt;0),P392/(H392*K392),"")</f>
        <v/>
      </c>
      <c r="R392" s="11" t="str">
        <f aca="false">IF(AND(N392&lt;&gt;"",H392&lt;&gt;I392),IF(E392="Buy",(N392-H392)/(H392-I392),(H392-N392)/(I392-H392)),"")</f>
        <v/>
      </c>
      <c r="S392" s="7" t="str">
        <f aca="false">IF(D392="","",IF(N392&lt;&gt;"","Closed","Open"))</f>
        <v/>
      </c>
      <c r="T392" s="7"/>
    </row>
    <row r="393" customFormat="false" ht="15" hidden="false" customHeight="false" outlineLevel="0" collapsed="false">
      <c r="A393" s="7"/>
      <c r="B393" s="7"/>
      <c r="C393" s="7"/>
      <c r="D393" s="7"/>
      <c r="E393" s="7"/>
      <c r="F393" s="7"/>
      <c r="G393" s="8"/>
      <c r="H393" s="9"/>
      <c r="I393" s="9"/>
      <c r="J393" s="9"/>
      <c r="K393" s="7"/>
      <c r="L393" s="7"/>
      <c r="M393" s="9" t="str">
        <f aca="false">IF(AND(H393&lt;&gt;"",I393&lt;&gt;"",K393&lt;&gt;""),ABS(H393-I393)*K393,"")</f>
        <v/>
      </c>
      <c r="N393" s="9"/>
      <c r="O393" s="7"/>
      <c r="P393" s="9" t="str">
        <f aca="false">IF(N393&lt;&gt;"",(N393-H393)*K393*IF(E393="Buy",1,-1),"")</f>
        <v/>
      </c>
      <c r="Q393" s="10" t="str">
        <f aca="false">IF(AND(P393&lt;&gt;"",H393&lt;&gt;0,K393&lt;&gt;0),P393/(H393*K393),"")</f>
        <v/>
      </c>
      <c r="R393" s="11" t="str">
        <f aca="false">IF(AND(N393&lt;&gt;"",H393&lt;&gt;I393),IF(E393="Buy",(N393-H393)/(H393-I393),(H393-N393)/(I393-H393)),"")</f>
        <v/>
      </c>
      <c r="S393" s="7" t="str">
        <f aca="false">IF(D393="","",IF(N393&lt;&gt;"","Closed","Open"))</f>
        <v/>
      </c>
      <c r="T393" s="7"/>
    </row>
    <row r="394" customFormat="false" ht="15" hidden="false" customHeight="false" outlineLevel="0" collapsed="false">
      <c r="A394" s="7"/>
      <c r="B394" s="7"/>
      <c r="C394" s="7"/>
      <c r="D394" s="7"/>
      <c r="E394" s="7"/>
      <c r="F394" s="7"/>
      <c r="G394" s="8"/>
      <c r="H394" s="9"/>
      <c r="I394" s="9"/>
      <c r="J394" s="9"/>
      <c r="K394" s="7"/>
      <c r="L394" s="7"/>
      <c r="M394" s="9" t="str">
        <f aca="false">IF(AND(H394&lt;&gt;"",I394&lt;&gt;"",K394&lt;&gt;""),ABS(H394-I394)*K394,"")</f>
        <v/>
      </c>
      <c r="N394" s="9"/>
      <c r="O394" s="7"/>
      <c r="P394" s="9" t="str">
        <f aca="false">IF(N394&lt;&gt;"",(N394-H394)*K394*IF(E394="Buy",1,-1),"")</f>
        <v/>
      </c>
      <c r="Q394" s="10" t="str">
        <f aca="false">IF(AND(P394&lt;&gt;"",H394&lt;&gt;0,K394&lt;&gt;0),P394/(H394*K394),"")</f>
        <v/>
      </c>
      <c r="R394" s="11" t="str">
        <f aca="false">IF(AND(N394&lt;&gt;"",H394&lt;&gt;I394),IF(E394="Buy",(N394-H394)/(H394-I394),(H394-N394)/(I394-H394)),"")</f>
        <v/>
      </c>
      <c r="S394" s="7" t="str">
        <f aca="false">IF(D394="","",IF(N394&lt;&gt;"","Closed","Open"))</f>
        <v/>
      </c>
      <c r="T394" s="7"/>
    </row>
    <row r="395" customFormat="false" ht="15" hidden="false" customHeight="false" outlineLevel="0" collapsed="false">
      <c r="A395" s="7"/>
      <c r="B395" s="7"/>
      <c r="C395" s="7"/>
      <c r="D395" s="7"/>
      <c r="E395" s="7"/>
      <c r="F395" s="7"/>
      <c r="G395" s="8"/>
      <c r="H395" s="9"/>
      <c r="I395" s="9"/>
      <c r="J395" s="9"/>
      <c r="K395" s="7"/>
      <c r="L395" s="7"/>
      <c r="M395" s="9" t="str">
        <f aca="false">IF(AND(H395&lt;&gt;"",I395&lt;&gt;"",K395&lt;&gt;""),ABS(H395-I395)*K395,"")</f>
        <v/>
      </c>
      <c r="N395" s="9"/>
      <c r="O395" s="7"/>
      <c r="P395" s="9" t="str">
        <f aca="false">IF(N395&lt;&gt;"",(N395-H395)*K395*IF(E395="Buy",1,-1),"")</f>
        <v/>
      </c>
      <c r="Q395" s="10" t="str">
        <f aca="false">IF(AND(P395&lt;&gt;"",H395&lt;&gt;0,K395&lt;&gt;0),P395/(H395*K395),"")</f>
        <v/>
      </c>
      <c r="R395" s="11" t="str">
        <f aca="false">IF(AND(N395&lt;&gt;"",H395&lt;&gt;I395),IF(E395="Buy",(N395-H395)/(H395-I395),(H395-N395)/(I395-H395)),"")</f>
        <v/>
      </c>
      <c r="S395" s="7" t="str">
        <f aca="false">IF(D395="","",IF(N395&lt;&gt;"","Closed","Open"))</f>
        <v/>
      </c>
      <c r="T395" s="7"/>
    </row>
    <row r="396" customFormat="false" ht="15" hidden="false" customHeight="false" outlineLevel="0" collapsed="false">
      <c r="A396" s="7"/>
      <c r="B396" s="7"/>
      <c r="C396" s="7"/>
      <c r="D396" s="7"/>
      <c r="E396" s="7"/>
      <c r="F396" s="7"/>
      <c r="G396" s="8"/>
      <c r="H396" s="9"/>
      <c r="I396" s="9"/>
      <c r="J396" s="9"/>
      <c r="K396" s="7"/>
      <c r="L396" s="7"/>
      <c r="M396" s="9" t="str">
        <f aca="false">IF(AND(H396&lt;&gt;"",I396&lt;&gt;"",K396&lt;&gt;""),ABS(H396-I396)*K396,"")</f>
        <v/>
      </c>
      <c r="N396" s="9"/>
      <c r="O396" s="7"/>
      <c r="P396" s="9" t="str">
        <f aca="false">IF(N396&lt;&gt;"",(N396-H396)*K396*IF(E396="Buy",1,-1),"")</f>
        <v/>
      </c>
      <c r="Q396" s="10" t="str">
        <f aca="false">IF(AND(P396&lt;&gt;"",H396&lt;&gt;0,K396&lt;&gt;0),P396/(H396*K396),"")</f>
        <v/>
      </c>
      <c r="R396" s="11" t="str">
        <f aca="false">IF(AND(N396&lt;&gt;"",H396&lt;&gt;I396),IF(E396="Buy",(N396-H396)/(H396-I396),(H396-N396)/(I396-H396)),"")</f>
        <v/>
      </c>
      <c r="S396" s="7" t="str">
        <f aca="false">IF(D396="","",IF(N396&lt;&gt;"","Closed","Open"))</f>
        <v/>
      </c>
      <c r="T396" s="7"/>
    </row>
    <row r="397" customFormat="false" ht="15" hidden="false" customHeight="false" outlineLevel="0" collapsed="false">
      <c r="A397" s="7"/>
      <c r="B397" s="7"/>
      <c r="C397" s="7"/>
      <c r="D397" s="7"/>
      <c r="E397" s="7"/>
      <c r="F397" s="7"/>
      <c r="G397" s="8"/>
      <c r="H397" s="9"/>
      <c r="I397" s="9"/>
      <c r="J397" s="9"/>
      <c r="K397" s="7"/>
      <c r="L397" s="7"/>
      <c r="M397" s="9" t="str">
        <f aca="false">IF(AND(H397&lt;&gt;"",I397&lt;&gt;"",K397&lt;&gt;""),ABS(H397-I397)*K397,"")</f>
        <v/>
      </c>
      <c r="N397" s="9"/>
      <c r="O397" s="7"/>
      <c r="P397" s="9" t="str">
        <f aca="false">IF(N397&lt;&gt;"",(N397-H397)*K397*IF(E397="Buy",1,-1),"")</f>
        <v/>
      </c>
      <c r="Q397" s="10" t="str">
        <f aca="false">IF(AND(P397&lt;&gt;"",H397&lt;&gt;0,K397&lt;&gt;0),P397/(H397*K397),"")</f>
        <v/>
      </c>
      <c r="R397" s="11" t="str">
        <f aca="false">IF(AND(N397&lt;&gt;"",H397&lt;&gt;I397),IF(E397="Buy",(N397-H397)/(H397-I397),(H397-N397)/(I397-H397)),"")</f>
        <v/>
      </c>
      <c r="S397" s="7" t="str">
        <f aca="false">IF(D397="","",IF(N397&lt;&gt;"","Closed","Open"))</f>
        <v/>
      </c>
      <c r="T397" s="7"/>
    </row>
    <row r="398" customFormat="false" ht="15" hidden="false" customHeight="false" outlineLevel="0" collapsed="false">
      <c r="A398" s="7"/>
      <c r="B398" s="7"/>
      <c r="C398" s="7"/>
      <c r="D398" s="7"/>
      <c r="E398" s="7"/>
      <c r="F398" s="7"/>
      <c r="G398" s="8"/>
      <c r="H398" s="9"/>
      <c r="I398" s="9"/>
      <c r="J398" s="9"/>
      <c r="K398" s="7"/>
      <c r="L398" s="7"/>
      <c r="M398" s="9" t="str">
        <f aca="false">IF(AND(H398&lt;&gt;"",I398&lt;&gt;"",K398&lt;&gt;""),ABS(H398-I398)*K398,"")</f>
        <v/>
      </c>
      <c r="N398" s="9"/>
      <c r="O398" s="7"/>
      <c r="P398" s="9" t="str">
        <f aca="false">IF(N398&lt;&gt;"",(N398-H398)*K398*IF(E398="Buy",1,-1),"")</f>
        <v/>
      </c>
      <c r="Q398" s="10" t="str">
        <f aca="false">IF(AND(P398&lt;&gt;"",H398&lt;&gt;0,K398&lt;&gt;0),P398/(H398*K398),"")</f>
        <v/>
      </c>
      <c r="R398" s="11" t="str">
        <f aca="false">IF(AND(N398&lt;&gt;"",H398&lt;&gt;I398),IF(E398="Buy",(N398-H398)/(H398-I398),(H398-N398)/(I398-H398)),"")</f>
        <v/>
      </c>
      <c r="S398" s="7" t="str">
        <f aca="false">IF(D398="","",IF(N398&lt;&gt;"","Closed","Open"))</f>
        <v/>
      </c>
      <c r="T398" s="7"/>
    </row>
    <row r="399" customFormat="false" ht="15" hidden="false" customHeight="false" outlineLevel="0" collapsed="false">
      <c r="A399" s="7"/>
      <c r="B399" s="7"/>
      <c r="C399" s="7"/>
      <c r="D399" s="7"/>
      <c r="E399" s="7"/>
      <c r="F399" s="7"/>
      <c r="G399" s="8"/>
      <c r="H399" s="9"/>
      <c r="I399" s="9"/>
      <c r="J399" s="9"/>
      <c r="K399" s="7"/>
      <c r="L399" s="7"/>
      <c r="M399" s="9" t="str">
        <f aca="false">IF(AND(H399&lt;&gt;"",I399&lt;&gt;"",K399&lt;&gt;""),ABS(H399-I399)*K399,"")</f>
        <v/>
      </c>
      <c r="N399" s="9"/>
      <c r="O399" s="7"/>
      <c r="P399" s="9" t="str">
        <f aca="false">IF(N399&lt;&gt;"",(N399-H399)*K399*IF(E399="Buy",1,-1),"")</f>
        <v/>
      </c>
      <c r="Q399" s="10" t="str">
        <f aca="false">IF(AND(P399&lt;&gt;"",H399&lt;&gt;0,K399&lt;&gt;0),P399/(H399*K399),"")</f>
        <v/>
      </c>
      <c r="R399" s="11" t="str">
        <f aca="false">IF(AND(N399&lt;&gt;"",H399&lt;&gt;I399),IF(E399="Buy",(N399-H399)/(H399-I399),(H399-N399)/(I399-H399)),"")</f>
        <v/>
      </c>
      <c r="S399" s="7" t="str">
        <f aca="false">IF(D399="","",IF(N399&lt;&gt;"","Closed","Open"))</f>
        <v/>
      </c>
      <c r="T399" s="7"/>
    </row>
    <row r="400" customFormat="false" ht="15" hidden="false" customHeight="false" outlineLevel="0" collapsed="false">
      <c r="A400" s="7"/>
      <c r="B400" s="7"/>
      <c r="C400" s="7"/>
      <c r="D400" s="7"/>
      <c r="E400" s="7"/>
      <c r="F400" s="7"/>
      <c r="G400" s="8"/>
      <c r="H400" s="9"/>
      <c r="I400" s="9"/>
      <c r="J400" s="9"/>
      <c r="K400" s="7"/>
      <c r="L400" s="7"/>
      <c r="M400" s="9" t="str">
        <f aca="false">IF(AND(H400&lt;&gt;"",I400&lt;&gt;"",K400&lt;&gt;""),ABS(H400-I400)*K400,"")</f>
        <v/>
      </c>
      <c r="N400" s="9"/>
      <c r="O400" s="7"/>
      <c r="P400" s="9" t="str">
        <f aca="false">IF(N400&lt;&gt;"",(N400-H400)*K400*IF(E400="Buy",1,-1),"")</f>
        <v/>
      </c>
      <c r="Q400" s="10" t="str">
        <f aca="false">IF(AND(P400&lt;&gt;"",H400&lt;&gt;0,K400&lt;&gt;0),P400/(H400*K400),"")</f>
        <v/>
      </c>
      <c r="R400" s="11" t="str">
        <f aca="false">IF(AND(N400&lt;&gt;"",H400&lt;&gt;I400),IF(E400="Buy",(N400-H400)/(H400-I400),(H400-N400)/(I400-H400)),"")</f>
        <v/>
      </c>
      <c r="S400" s="7" t="str">
        <f aca="false">IF(D400="","",IF(N400&lt;&gt;"","Closed","Open"))</f>
        <v/>
      </c>
      <c r="T400" s="7"/>
    </row>
    <row r="401" customFormat="false" ht="15" hidden="false" customHeight="false" outlineLevel="0" collapsed="false">
      <c r="A401" s="7"/>
      <c r="B401" s="7"/>
      <c r="C401" s="7"/>
      <c r="D401" s="7"/>
      <c r="E401" s="7"/>
      <c r="F401" s="7"/>
      <c r="G401" s="8"/>
      <c r="H401" s="9"/>
      <c r="I401" s="9"/>
      <c r="J401" s="9"/>
      <c r="K401" s="7"/>
      <c r="L401" s="7"/>
      <c r="M401" s="9" t="str">
        <f aca="false">IF(AND(H401&lt;&gt;"",I401&lt;&gt;"",K401&lt;&gt;""),ABS(H401-I401)*K401,"")</f>
        <v/>
      </c>
      <c r="N401" s="9"/>
      <c r="O401" s="7"/>
      <c r="P401" s="9" t="str">
        <f aca="false">IF(N401&lt;&gt;"",(N401-H401)*K401*IF(E401="Buy",1,-1),"")</f>
        <v/>
      </c>
      <c r="Q401" s="10" t="str">
        <f aca="false">IF(AND(P401&lt;&gt;"",H401&lt;&gt;0,K401&lt;&gt;0),P401/(H401*K401),"")</f>
        <v/>
      </c>
      <c r="R401" s="11" t="str">
        <f aca="false">IF(AND(N401&lt;&gt;"",H401&lt;&gt;I401),IF(E401="Buy",(N401-H401)/(H401-I401),(H401-N401)/(I401-H401)),"")</f>
        <v/>
      </c>
      <c r="S401" s="7" t="str">
        <f aca="false">IF(D401="","",IF(N401&lt;&gt;"","Closed","Open"))</f>
        <v/>
      </c>
      <c r="T401" s="7"/>
    </row>
    <row r="402" customFormat="false" ht="15" hidden="false" customHeight="false" outlineLevel="0" collapsed="false">
      <c r="A402" s="7"/>
      <c r="B402" s="7"/>
      <c r="C402" s="7"/>
      <c r="D402" s="7"/>
      <c r="E402" s="7"/>
      <c r="F402" s="7"/>
      <c r="G402" s="8"/>
      <c r="H402" s="9"/>
      <c r="I402" s="9"/>
      <c r="J402" s="9"/>
      <c r="K402" s="7"/>
      <c r="L402" s="7"/>
      <c r="M402" s="9" t="str">
        <f aca="false">IF(AND(H402&lt;&gt;"",I402&lt;&gt;"",K402&lt;&gt;""),ABS(H402-I402)*K402,"")</f>
        <v/>
      </c>
      <c r="N402" s="9"/>
      <c r="O402" s="7"/>
      <c r="P402" s="9" t="str">
        <f aca="false">IF(N402&lt;&gt;"",(N402-H402)*K402*IF(E402="Buy",1,-1),"")</f>
        <v/>
      </c>
      <c r="Q402" s="10" t="str">
        <f aca="false">IF(AND(P402&lt;&gt;"",H402&lt;&gt;0,K402&lt;&gt;0),P402/(H402*K402),"")</f>
        <v/>
      </c>
      <c r="R402" s="11" t="str">
        <f aca="false">IF(AND(N402&lt;&gt;"",H402&lt;&gt;I402),IF(E402="Buy",(N402-H402)/(H402-I402),(H402-N402)/(I402-H402)),"")</f>
        <v/>
      </c>
      <c r="S402" s="7" t="str">
        <f aca="false">IF(D402="","",IF(N402&lt;&gt;"","Closed","Open"))</f>
        <v/>
      </c>
      <c r="T402" s="7"/>
    </row>
    <row r="403" customFormat="false" ht="15" hidden="false" customHeight="false" outlineLevel="0" collapsed="false">
      <c r="A403" s="7"/>
      <c r="B403" s="7"/>
      <c r="C403" s="7"/>
      <c r="D403" s="7"/>
      <c r="E403" s="7"/>
      <c r="F403" s="7"/>
      <c r="G403" s="8"/>
      <c r="H403" s="9"/>
      <c r="I403" s="9"/>
      <c r="J403" s="9"/>
      <c r="K403" s="7"/>
      <c r="L403" s="7"/>
      <c r="M403" s="9" t="str">
        <f aca="false">IF(AND(H403&lt;&gt;"",I403&lt;&gt;"",K403&lt;&gt;""),ABS(H403-I403)*K403,"")</f>
        <v/>
      </c>
      <c r="N403" s="9"/>
      <c r="O403" s="7"/>
      <c r="P403" s="9" t="str">
        <f aca="false">IF(N403&lt;&gt;"",(N403-H403)*K403*IF(E403="Buy",1,-1),"")</f>
        <v/>
      </c>
      <c r="Q403" s="10" t="str">
        <f aca="false">IF(AND(P403&lt;&gt;"",H403&lt;&gt;0,K403&lt;&gt;0),P403/(H403*K403),"")</f>
        <v/>
      </c>
      <c r="R403" s="11" t="str">
        <f aca="false">IF(AND(N403&lt;&gt;"",H403&lt;&gt;I403),IF(E403="Buy",(N403-H403)/(H403-I403),(H403-N403)/(I403-H403)),"")</f>
        <v/>
      </c>
      <c r="S403" s="7" t="str">
        <f aca="false">IF(D403="","",IF(N403&lt;&gt;"","Closed","Open"))</f>
        <v/>
      </c>
      <c r="T403" s="7"/>
    </row>
    <row r="404" customFormat="false" ht="15" hidden="false" customHeight="false" outlineLevel="0" collapsed="false">
      <c r="A404" s="7"/>
      <c r="B404" s="7"/>
      <c r="C404" s="7"/>
      <c r="D404" s="7"/>
      <c r="E404" s="7"/>
      <c r="F404" s="7"/>
      <c r="G404" s="8"/>
      <c r="H404" s="9"/>
      <c r="I404" s="9"/>
      <c r="J404" s="9"/>
      <c r="K404" s="7"/>
      <c r="L404" s="7"/>
      <c r="M404" s="9" t="str">
        <f aca="false">IF(AND(H404&lt;&gt;"",I404&lt;&gt;"",K404&lt;&gt;""),ABS(H404-I404)*K404,"")</f>
        <v/>
      </c>
      <c r="N404" s="9"/>
      <c r="O404" s="7"/>
      <c r="P404" s="9" t="str">
        <f aca="false">IF(N404&lt;&gt;"",(N404-H404)*K404*IF(E404="Buy",1,-1),"")</f>
        <v/>
      </c>
      <c r="Q404" s="10" t="str">
        <f aca="false">IF(AND(P404&lt;&gt;"",H404&lt;&gt;0,K404&lt;&gt;0),P404/(H404*K404),"")</f>
        <v/>
      </c>
      <c r="R404" s="11" t="str">
        <f aca="false">IF(AND(N404&lt;&gt;"",H404&lt;&gt;I404),IF(E404="Buy",(N404-H404)/(H404-I404),(H404-N404)/(I404-H404)),"")</f>
        <v/>
      </c>
      <c r="S404" s="7" t="str">
        <f aca="false">IF(D404="","",IF(N404&lt;&gt;"","Closed","Open"))</f>
        <v/>
      </c>
      <c r="T404" s="7"/>
    </row>
    <row r="405" customFormat="false" ht="15" hidden="false" customHeight="false" outlineLevel="0" collapsed="false">
      <c r="A405" s="7"/>
      <c r="B405" s="7"/>
      <c r="C405" s="7"/>
      <c r="D405" s="7"/>
      <c r="E405" s="7"/>
      <c r="F405" s="7"/>
      <c r="G405" s="8"/>
      <c r="H405" s="9"/>
      <c r="I405" s="9"/>
      <c r="J405" s="9"/>
      <c r="K405" s="7"/>
      <c r="L405" s="7"/>
      <c r="M405" s="9" t="str">
        <f aca="false">IF(AND(H405&lt;&gt;"",I405&lt;&gt;"",K405&lt;&gt;""),ABS(H405-I405)*K405,"")</f>
        <v/>
      </c>
      <c r="N405" s="9"/>
      <c r="O405" s="7"/>
      <c r="P405" s="9" t="str">
        <f aca="false">IF(N405&lt;&gt;"",(N405-H405)*K405*IF(E405="Buy",1,-1),"")</f>
        <v/>
      </c>
      <c r="Q405" s="10" t="str">
        <f aca="false">IF(AND(P405&lt;&gt;"",H405&lt;&gt;0,K405&lt;&gt;0),P405/(H405*K405),"")</f>
        <v/>
      </c>
      <c r="R405" s="11" t="str">
        <f aca="false">IF(AND(N405&lt;&gt;"",H405&lt;&gt;I405),IF(E405="Buy",(N405-H405)/(H405-I405),(H405-N405)/(I405-H405)),"")</f>
        <v/>
      </c>
      <c r="S405" s="7" t="str">
        <f aca="false">IF(D405="","",IF(N405&lt;&gt;"","Closed","Open"))</f>
        <v/>
      </c>
      <c r="T405" s="7"/>
    </row>
    <row r="406" customFormat="false" ht="15" hidden="false" customHeight="false" outlineLevel="0" collapsed="false">
      <c r="A406" s="7"/>
      <c r="B406" s="7"/>
      <c r="C406" s="7"/>
      <c r="D406" s="7"/>
      <c r="E406" s="7"/>
      <c r="F406" s="7"/>
      <c r="G406" s="8"/>
      <c r="H406" s="9"/>
      <c r="I406" s="9"/>
      <c r="J406" s="9"/>
      <c r="K406" s="7"/>
      <c r="L406" s="7"/>
      <c r="M406" s="9" t="str">
        <f aca="false">IF(AND(H406&lt;&gt;"",I406&lt;&gt;"",K406&lt;&gt;""),ABS(H406-I406)*K406,"")</f>
        <v/>
      </c>
      <c r="N406" s="9"/>
      <c r="O406" s="7"/>
      <c r="P406" s="9" t="str">
        <f aca="false">IF(N406&lt;&gt;"",(N406-H406)*K406*IF(E406="Buy",1,-1),"")</f>
        <v/>
      </c>
      <c r="Q406" s="10" t="str">
        <f aca="false">IF(AND(P406&lt;&gt;"",H406&lt;&gt;0,K406&lt;&gt;0),P406/(H406*K406),"")</f>
        <v/>
      </c>
      <c r="R406" s="11" t="str">
        <f aca="false">IF(AND(N406&lt;&gt;"",H406&lt;&gt;I406),IF(E406="Buy",(N406-H406)/(H406-I406),(H406-N406)/(I406-H406)),"")</f>
        <v/>
      </c>
      <c r="S406" s="7" t="str">
        <f aca="false">IF(D406="","",IF(N406&lt;&gt;"","Closed","Open"))</f>
        <v/>
      </c>
      <c r="T406" s="7"/>
    </row>
    <row r="407" customFormat="false" ht="15" hidden="false" customHeight="false" outlineLevel="0" collapsed="false">
      <c r="A407" s="7"/>
      <c r="B407" s="7"/>
      <c r="C407" s="7"/>
      <c r="D407" s="7"/>
      <c r="E407" s="7"/>
      <c r="F407" s="7"/>
      <c r="G407" s="8"/>
      <c r="H407" s="9"/>
      <c r="I407" s="9"/>
      <c r="J407" s="9"/>
      <c r="K407" s="7"/>
      <c r="L407" s="7"/>
      <c r="M407" s="9" t="str">
        <f aca="false">IF(AND(H407&lt;&gt;"",I407&lt;&gt;"",K407&lt;&gt;""),ABS(H407-I407)*K407,"")</f>
        <v/>
      </c>
      <c r="N407" s="9"/>
      <c r="O407" s="7"/>
      <c r="P407" s="9" t="str">
        <f aca="false">IF(N407&lt;&gt;"",(N407-H407)*K407*IF(E407="Buy",1,-1),"")</f>
        <v/>
      </c>
      <c r="Q407" s="10" t="str">
        <f aca="false">IF(AND(P407&lt;&gt;"",H407&lt;&gt;0,K407&lt;&gt;0),P407/(H407*K407),"")</f>
        <v/>
      </c>
      <c r="R407" s="11" t="str">
        <f aca="false">IF(AND(N407&lt;&gt;"",H407&lt;&gt;I407),IF(E407="Buy",(N407-H407)/(H407-I407),(H407-N407)/(I407-H407)),"")</f>
        <v/>
      </c>
      <c r="S407" s="7" t="str">
        <f aca="false">IF(D407="","",IF(N407&lt;&gt;"","Closed","Open"))</f>
        <v/>
      </c>
      <c r="T407" s="7"/>
    </row>
    <row r="408" customFormat="false" ht="15" hidden="false" customHeight="false" outlineLevel="0" collapsed="false">
      <c r="A408" s="7"/>
      <c r="B408" s="7"/>
      <c r="C408" s="7"/>
      <c r="D408" s="7"/>
      <c r="E408" s="7"/>
      <c r="F408" s="7"/>
      <c r="G408" s="8"/>
      <c r="H408" s="9"/>
      <c r="I408" s="9"/>
      <c r="J408" s="9"/>
      <c r="K408" s="7"/>
      <c r="L408" s="7"/>
      <c r="M408" s="9" t="str">
        <f aca="false">IF(AND(H408&lt;&gt;"",I408&lt;&gt;"",K408&lt;&gt;""),ABS(H408-I408)*K408,"")</f>
        <v/>
      </c>
      <c r="N408" s="9"/>
      <c r="O408" s="7"/>
      <c r="P408" s="9" t="str">
        <f aca="false">IF(N408&lt;&gt;"",(N408-H408)*K408*IF(E408="Buy",1,-1),"")</f>
        <v/>
      </c>
      <c r="Q408" s="10" t="str">
        <f aca="false">IF(AND(P408&lt;&gt;"",H408&lt;&gt;0,K408&lt;&gt;0),P408/(H408*K408),"")</f>
        <v/>
      </c>
      <c r="R408" s="11" t="str">
        <f aca="false">IF(AND(N408&lt;&gt;"",H408&lt;&gt;I408),IF(E408="Buy",(N408-H408)/(H408-I408),(H408-N408)/(I408-H408)),"")</f>
        <v/>
      </c>
      <c r="S408" s="7" t="str">
        <f aca="false">IF(D408="","",IF(N408&lt;&gt;"","Closed","Open"))</f>
        <v/>
      </c>
      <c r="T408" s="7"/>
    </row>
    <row r="409" customFormat="false" ht="15" hidden="false" customHeight="false" outlineLevel="0" collapsed="false">
      <c r="A409" s="7"/>
      <c r="B409" s="7"/>
      <c r="C409" s="7"/>
      <c r="D409" s="7"/>
      <c r="E409" s="7"/>
      <c r="F409" s="7"/>
      <c r="G409" s="8"/>
      <c r="H409" s="9"/>
      <c r="I409" s="9"/>
      <c r="J409" s="9"/>
      <c r="K409" s="7"/>
      <c r="L409" s="7"/>
      <c r="M409" s="9" t="str">
        <f aca="false">IF(AND(H409&lt;&gt;"",I409&lt;&gt;"",K409&lt;&gt;""),ABS(H409-I409)*K409,"")</f>
        <v/>
      </c>
      <c r="N409" s="9"/>
      <c r="O409" s="7"/>
      <c r="P409" s="9" t="str">
        <f aca="false">IF(N409&lt;&gt;"",(N409-H409)*K409*IF(E409="Buy",1,-1),"")</f>
        <v/>
      </c>
      <c r="Q409" s="10" t="str">
        <f aca="false">IF(AND(P409&lt;&gt;"",H409&lt;&gt;0,K409&lt;&gt;0),P409/(H409*K409),"")</f>
        <v/>
      </c>
      <c r="R409" s="11" t="str">
        <f aca="false">IF(AND(N409&lt;&gt;"",H409&lt;&gt;I409),IF(E409="Buy",(N409-H409)/(H409-I409),(H409-N409)/(I409-H409)),"")</f>
        <v/>
      </c>
      <c r="S409" s="7" t="str">
        <f aca="false">IF(D409="","",IF(N409&lt;&gt;"","Closed","Open"))</f>
        <v/>
      </c>
      <c r="T409" s="7"/>
    </row>
    <row r="410" customFormat="false" ht="15" hidden="false" customHeight="false" outlineLevel="0" collapsed="false">
      <c r="A410" s="7"/>
      <c r="B410" s="7"/>
      <c r="C410" s="7"/>
      <c r="D410" s="7"/>
      <c r="E410" s="7"/>
      <c r="F410" s="7"/>
      <c r="G410" s="8"/>
      <c r="H410" s="9"/>
      <c r="I410" s="9"/>
      <c r="J410" s="9"/>
      <c r="K410" s="7"/>
      <c r="L410" s="7"/>
      <c r="M410" s="9" t="str">
        <f aca="false">IF(AND(H410&lt;&gt;"",I410&lt;&gt;"",K410&lt;&gt;""),ABS(H410-I410)*K410,"")</f>
        <v/>
      </c>
      <c r="N410" s="9"/>
      <c r="O410" s="7"/>
      <c r="P410" s="9" t="str">
        <f aca="false">IF(N410&lt;&gt;"",(N410-H410)*K410*IF(E410="Buy",1,-1),"")</f>
        <v/>
      </c>
      <c r="Q410" s="10" t="str">
        <f aca="false">IF(AND(P410&lt;&gt;"",H410&lt;&gt;0,K410&lt;&gt;0),P410/(H410*K410),"")</f>
        <v/>
      </c>
      <c r="R410" s="11" t="str">
        <f aca="false">IF(AND(N410&lt;&gt;"",H410&lt;&gt;I410),IF(E410="Buy",(N410-H410)/(H410-I410),(H410-N410)/(I410-H410)),"")</f>
        <v/>
      </c>
      <c r="S410" s="7" t="str">
        <f aca="false">IF(D410="","",IF(N410&lt;&gt;"","Closed","Open"))</f>
        <v/>
      </c>
      <c r="T410" s="7"/>
    </row>
    <row r="411" customFormat="false" ht="15" hidden="false" customHeight="false" outlineLevel="0" collapsed="false">
      <c r="A411" s="7"/>
      <c r="B411" s="7"/>
      <c r="C411" s="7"/>
      <c r="D411" s="7"/>
      <c r="E411" s="7"/>
      <c r="F411" s="7"/>
      <c r="G411" s="8"/>
      <c r="H411" s="9"/>
      <c r="I411" s="9"/>
      <c r="J411" s="9"/>
      <c r="K411" s="7"/>
      <c r="L411" s="7"/>
      <c r="M411" s="9" t="str">
        <f aca="false">IF(AND(H411&lt;&gt;"",I411&lt;&gt;"",K411&lt;&gt;""),ABS(H411-I411)*K411,"")</f>
        <v/>
      </c>
      <c r="N411" s="9"/>
      <c r="O411" s="7"/>
      <c r="P411" s="9" t="str">
        <f aca="false">IF(N411&lt;&gt;"",(N411-H411)*K411*IF(E411="Buy",1,-1),"")</f>
        <v/>
      </c>
      <c r="Q411" s="10" t="str">
        <f aca="false">IF(AND(P411&lt;&gt;"",H411&lt;&gt;0,K411&lt;&gt;0),P411/(H411*K411),"")</f>
        <v/>
      </c>
      <c r="R411" s="11" t="str">
        <f aca="false">IF(AND(N411&lt;&gt;"",H411&lt;&gt;I411),IF(E411="Buy",(N411-H411)/(H411-I411),(H411-N411)/(I411-H411)),"")</f>
        <v/>
      </c>
      <c r="S411" s="7" t="str">
        <f aca="false">IF(D411="","",IF(N411&lt;&gt;"","Closed","Open"))</f>
        <v/>
      </c>
      <c r="T411" s="7"/>
    </row>
    <row r="412" customFormat="false" ht="15" hidden="false" customHeight="false" outlineLevel="0" collapsed="false">
      <c r="A412" s="7"/>
      <c r="B412" s="7"/>
      <c r="C412" s="7"/>
      <c r="D412" s="7"/>
      <c r="E412" s="7"/>
      <c r="F412" s="7"/>
      <c r="G412" s="8"/>
      <c r="H412" s="9"/>
      <c r="I412" s="9"/>
      <c r="J412" s="9"/>
      <c r="K412" s="7"/>
      <c r="L412" s="7"/>
      <c r="M412" s="9" t="str">
        <f aca="false">IF(AND(H412&lt;&gt;"",I412&lt;&gt;"",K412&lt;&gt;""),ABS(H412-I412)*K412,"")</f>
        <v/>
      </c>
      <c r="N412" s="9"/>
      <c r="O412" s="7"/>
      <c r="P412" s="9" t="str">
        <f aca="false">IF(N412&lt;&gt;"",(N412-H412)*K412*IF(E412="Buy",1,-1),"")</f>
        <v/>
      </c>
      <c r="Q412" s="10" t="str">
        <f aca="false">IF(AND(P412&lt;&gt;"",H412&lt;&gt;0,K412&lt;&gt;0),P412/(H412*K412),"")</f>
        <v/>
      </c>
      <c r="R412" s="11" t="str">
        <f aca="false">IF(AND(N412&lt;&gt;"",H412&lt;&gt;I412),IF(E412="Buy",(N412-H412)/(H412-I412),(H412-N412)/(I412-H412)),"")</f>
        <v/>
      </c>
      <c r="S412" s="7" t="str">
        <f aca="false">IF(D412="","",IF(N412&lt;&gt;"","Closed","Open"))</f>
        <v/>
      </c>
      <c r="T412" s="7"/>
    </row>
    <row r="413" customFormat="false" ht="15" hidden="false" customHeight="false" outlineLevel="0" collapsed="false">
      <c r="A413" s="7"/>
      <c r="B413" s="7"/>
      <c r="C413" s="7"/>
      <c r="D413" s="7"/>
      <c r="E413" s="7"/>
      <c r="F413" s="7"/>
      <c r="G413" s="8"/>
      <c r="H413" s="9"/>
      <c r="I413" s="9"/>
      <c r="J413" s="9"/>
      <c r="K413" s="7"/>
      <c r="L413" s="7"/>
      <c r="M413" s="9" t="str">
        <f aca="false">IF(AND(H413&lt;&gt;"",I413&lt;&gt;"",K413&lt;&gt;""),ABS(H413-I413)*K413,"")</f>
        <v/>
      </c>
      <c r="N413" s="9"/>
      <c r="O413" s="7"/>
      <c r="P413" s="9" t="str">
        <f aca="false">IF(N413&lt;&gt;"",(N413-H413)*K413*IF(E413="Buy",1,-1),"")</f>
        <v/>
      </c>
      <c r="Q413" s="10" t="str">
        <f aca="false">IF(AND(P413&lt;&gt;"",H413&lt;&gt;0,K413&lt;&gt;0),P413/(H413*K413),"")</f>
        <v/>
      </c>
      <c r="R413" s="11" t="str">
        <f aca="false">IF(AND(N413&lt;&gt;"",H413&lt;&gt;I413),IF(E413="Buy",(N413-H413)/(H413-I413),(H413-N413)/(I413-H413)),"")</f>
        <v/>
      </c>
      <c r="S413" s="7" t="str">
        <f aca="false">IF(D413="","",IF(N413&lt;&gt;"","Closed","Open"))</f>
        <v/>
      </c>
      <c r="T413" s="7"/>
    </row>
    <row r="414" customFormat="false" ht="15" hidden="false" customHeight="false" outlineLevel="0" collapsed="false">
      <c r="A414" s="7"/>
      <c r="B414" s="7"/>
      <c r="C414" s="7"/>
      <c r="D414" s="7"/>
      <c r="E414" s="7"/>
      <c r="F414" s="7"/>
      <c r="G414" s="8"/>
      <c r="H414" s="9"/>
      <c r="I414" s="9"/>
      <c r="J414" s="9"/>
      <c r="K414" s="7"/>
      <c r="L414" s="7"/>
      <c r="M414" s="9" t="str">
        <f aca="false">IF(AND(H414&lt;&gt;"",I414&lt;&gt;"",K414&lt;&gt;""),ABS(H414-I414)*K414,"")</f>
        <v/>
      </c>
      <c r="N414" s="9"/>
      <c r="O414" s="7"/>
      <c r="P414" s="9" t="str">
        <f aca="false">IF(N414&lt;&gt;"",(N414-H414)*K414*IF(E414="Buy",1,-1),"")</f>
        <v/>
      </c>
      <c r="Q414" s="10" t="str">
        <f aca="false">IF(AND(P414&lt;&gt;"",H414&lt;&gt;0,K414&lt;&gt;0),P414/(H414*K414),"")</f>
        <v/>
      </c>
      <c r="R414" s="11" t="str">
        <f aca="false">IF(AND(N414&lt;&gt;"",H414&lt;&gt;I414),IF(E414="Buy",(N414-H414)/(H414-I414),(H414-N414)/(I414-H414)),"")</f>
        <v/>
      </c>
      <c r="S414" s="7" t="str">
        <f aca="false">IF(D414="","",IF(N414&lt;&gt;"","Closed","Open"))</f>
        <v/>
      </c>
      <c r="T414" s="7"/>
    </row>
    <row r="415" customFormat="false" ht="15" hidden="false" customHeight="false" outlineLevel="0" collapsed="false">
      <c r="A415" s="7"/>
      <c r="B415" s="7"/>
      <c r="C415" s="7"/>
      <c r="D415" s="7"/>
      <c r="E415" s="7"/>
      <c r="F415" s="7"/>
      <c r="G415" s="8"/>
      <c r="H415" s="9"/>
      <c r="I415" s="9"/>
      <c r="J415" s="9"/>
      <c r="K415" s="7"/>
      <c r="L415" s="7"/>
      <c r="M415" s="9" t="str">
        <f aca="false">IF(AND(H415&lt;&gt;"",I415&lt;&gt;"",K415&lt;&gt;""),ABS(H415-I415)*K415,"")</f>
        <v/>
      </c>
      <c r="N415" s="9"/>
      <c r="O415" s="7"/>
      <c r="P415" s="9" t="str">
        <f aca="false">IF(N415&lt;&gt;"",(N415-H415)*K415*IF(E415="Buy",1,-1),"")</f>
        <v/>
      </c>
      <c r="Q415" s="10" t="str">
        <f aca="false">IF(AND(P415&lt;&gt;"",H415&lt;&gt;0,K415&lt;&gt;0),P415/(H415*K415),"")</f>
        <v/>
      </c>
      <c r="R415" s="11" t="str">
        <f aca="false">IF(AND(N415&lt;&gt;"",H415&lt;&gt;I415),IF(E415="Buy",(N415-H415)/(H415-I415),(H415-N415)/(I415-H415)),"")</f>
        <v/>
      </c>
      <c r="S415" s="7" t="str">
        <f aca="false">IF(D415="","",IF(N415&lt;&gt;"","Closed","Open"))</f>
        <v/>
      </c>
      <c r="T415" s="7"/>
    </row>
    <row r="416" customFormat="false" ht="15" hidden="false" customHeight="false" outlineLevel="0" collapsed="false">
      <c r="A416" s="7"/>
      <c r="B416" s="7"/>
      <c r="C416" s="7"/>
      <c r="D416" s="7"/>
      <c r="E416" s="7"/>
      <c r="F416" s="7"/>
      <c r="G416" s="8"/>
      <c r="H416" s="9"/>
      <c r="I416" s="9"/>
      <c r="J416" s="9"/>
      <c r="K416" s="7"/>
      <c r="L416" s="7"/>
      <c r="M416" s="9" t="str">
        <f aca="false">IF(AND(H416&lt;&gt;"",I416&lt;&gt;"",K416&lt;&gt;""),ABS(H416-I416)*K416,"")</f>
        <v/>
      </c>
      <c r="N416" s="9"/>
      <c r="O416" s="7"/>
      <c r="P416" s="9" t="str">
        <f aca="false">IF(N416&lt;&gt;"",(N416-H416)*K416*IF(E416="Buy",1,-1),"")</f>
        <v/>
      </c>
      <c r="Q416" s="10" t="str">
        <f aca="false">IF(AND(P416&lt;&gt;"",H416&lt;&gt;0,K416&lt;&gt;0),P416/(H416*K416),"")</f>
        <v/>
      </c>
      <c r="R416" s="11" t="str">
        <f aca="false">IF(AND(N416&lt;&gt;"",H416&lt;&gt;I416),IF(E416="Buy",(N416-H416)/(H416-I416),(H416-N416)/(I416-H416)),"")</f>
        <v/>
      </c>
      <c r="S416" s="7" t="str">
        <f aca="false">IF(D416="","",IF(N416&lt;&gt;"","Closed","Open"))</f>
        <v/>
      </c>
      <c r="T416" s="7"/>
    </row>
    <row r="417" customFormat="false" ht="15" hidden="false" customHeight="false" outlineLevel="0" collapsed="false">
      <c r="A417" s="7"/>
      <c r="B417" s="7"/>
      <c r="C417" s="7"/>
      <c r="D417" s="7"/>
      <c r="E417" s="7"/>
      <c r="F417" s="7"/>
      <c r="G417" s="8"/>
      <c r="H417" s="9"/>
      <c r="I417" s="9"/>
      <c r="J417" s="9"/>
      <c r="K417" s="7"/>
      <c r="L417" s="7"/>
      <c r="M417" s="9" t="str">
        <f aca="false">IF(AND(H417&lt;&gt;"",I417&lt;&gt;"",K417&lt;&gt;""),ABS(H417-I417)*K417,"")</f>
        <v/>
      </c>
      <c r="N417" s="9"/>
      <c r="O417" s="7"/>
      <c r="P417" s="9" t="str">
        <f aca="false">IF(N417&lt;&gt;"",(N417-H417)*K417*IF(E417="Buy",1,-1),"")</f>
        <v/>
      </c>
      <c r="Q417" s="10" t="str">
        <f aca="false">IF(AND(P417&lt;&gt;"",H417&lt;&gt;0,K417&lt;&gt;0),P417/(H417*K417),"")</f>
        <v/>
      </c>
      <c r="R417" s="11" t="str">
        <f aca="false">IF(AND(N417&lt;&gt;"",H417&lt;&gt;I417),IF(E417="Buy",(N417-H417)/(H417-I417),(H417-N417)/(I417-H417)),"")</f>
        <v/>
      </c>
      <c r="S417" s="7" t="str">
        <f aca="false">IF(D417="","",IF(N417&lt;&gt;"","Closed","Open"))</f>
        <v/>
      </c>
      <c r="T417" s="7"/>
    </row>
    <row r="418" customFormat="false" ht="15" hidden="false" customHeight="false" outlineLevel="0" collapsed="false">
      <c r="A418" s="7"/>
      <c r="B418" s="7"/>
      <c r="C418" s="7"/>
      <c r="D418" s="7"/>
      <c r="E418" s="7"/>
      <c r="F418" s="7"/>
      <c r="G418" s="8"/>
      <c r="H418" s="9"/>
      <c r="I418" s="9"/>
      <c r="J418" s="9"/>
      <c r="K418" s="7"/>
      <c r="L418" s="7"/>
      <c r="M418" s="9" t="str">
        <f aca="false">IF(AND(H418&lt;&gt;"",I418&lt;&gt;"",K418&lt;&gt;""),ABS(H418-I418)*K418,"")</f>
        <v/>
      </c>
      <c r="N418" s="9"/>
      <c r="O418" s="7"/>
      <c r="P418" s="9" t="str">
        <f aca="false">IF(N418&lt;&gt;"",(N418-H418)*K418*IF(E418="Buy",1,-1),"")</f>
        <v/>
      </c>
      <c r="Q418" s="10" t="str">
        <f aca="false">IF(AND(P418&lt;&gt;"",H418&lt;&gt;0,K418&lt;&gt;0),P418/(H418*K418),"")</f>
        <v/>
      </c>
      <c r="R418" s="11" t="str">
        <f aca="false">IF(AND(N418&lt;&gt;"",H418&lt;&gt;I418),IF(E418="Buy",(N418-H418)/(H418-I418),(H418-N418)/(I418-H418)),"")</f>
        <v/>
      </c>
      <c r="S418" s="7" t="str">
        <f aca="false">IF(D418="","",IF(N418&lt;&gt;"","Closed","Open"))</f>
        <v/>
      </c>
      <c r="T418" s="7"/>
    </row>
    <row r="419" customFormat="false" ht="15" hidden="false" customHeight="false" outlineLevel="0" collapsed="false">
      <c r="A419" s="7"/>
      <c r="B419" s="7"/>
      <c r="C419" s="7"/>
      <c r="D419" s="7"/>
      <c r="E419" s="7"/>
      <c r="F419" s="7"/>
      <c r="G419" s="8"/>
      <c r="H419" s="9"/>
      <c r="I419" s="9"/>
      <c r="J419" s="9"/>
      <c r="K419" s="7"/>
      <c r="L419" s="7"/>
      <c r="M419" s="9" t="str">
        <f aca="false">IF(AND(H419&lt;&gt;"",I419&lt;&gt;"",K419&lt;&gt;""),ABS(H419-I419)*K419,"")</f>
        <v/>
      </c>
      <c r="N419" s="9"/>
      <c r="O419" s="7"/>
      <c r="P419" s="9" t="str">
        <f aca="false">IF(N419&lt;&gt;"",(N419-H419)*K419*IF(E419="Buy",1,-1),"")</f>
        <v/>
      </c>
      <c r="Q419" s="10" t="str">
        <f aca="false">IF(AND(P419&lt;&gt;"",H419&lt;&gt;0,K419&lt;&gt;0),P419/(H419*K419),"")</f>
        <v/>
      </c>
      <c r="R419" s="11" t="str">
        <f aca="false">IF(AND(N419&lt;&gt;"",H419&lt;&gt;I419),IF(E419="Buy",(N419-H419)/(H419-I419),(H419-N419)/(I419-H419)),"")</f>
        <v/>
      </c>
      <c r="S419" s="7" t="str">
        <f aca="false">IF(D419="","",IF(N419&lt;&gt;"","Closed","Open"))</f>
        <v/>
      </c>
      <c r="T419" s="7"/>
    </row>
    <row r="420" customFormat="false" ht="15" hidden="false" customHeight="false" outlineLevel="0" collapsed="false">
      <c r="A420" s="7"/>
      <c r="B420" s="7"/>
      <c r="C420" s="7"/>
      <c r="D420" s="7"/>
      <c r="E420" s="7"/>
      <c r="F420" s="7"/>
      <c r="G420" s="8"/>
      <c r="H420" s="9"/>
      <c r="I420" s="9"/>
      <c r="J420" s="9"/>
      <c r="K420" s="7"/>
      <c r="L420" s="7"/>
      <c r="M420" s="9" t="str">
        <f aca="false">IF(AND(H420&lt;&gt;"",I420&lt;&gt;"",K420&lt;&gt;""),ABS(H420-I420)*K420,"")</f>
        <v/>
      </c>
      <c r="N420" s="9"/>
      <c r="O420" s="7"/>
      <c r="P420" s="9" t="str">
        <f aca="false">IF(N420&lt;&gt;"",(N420-H420)*K420*IF(E420="Buy",1,-1),"")</f>
        <v/>
      </c>
      <c r="Q420" s="10" t="str">
        <f aca="false">IF(AND(P420&lt;&gt;"",H420&lt;&gt;0,K420&lt;&gt;0),P420/(H420*K420),"")</f>
        <v/>
      </c>
      <c r="R420" s="11" t="str">
        <f aca="false">IF(AND(N420&lt;&gt;"",H420&lt;&gt;I420),IF(E420="Buy",(N420-H420)/(H420-I420),(H420-N420)/(I420-H420)),"")</f>
        <v/>
      </c>
      <c r="S420" s="7" t="str">
        <f aca="false">IF(D420="","",IF(N420&lt;&gt;"","Closed","Open"))</f>
        <v/>
      </c>
      <c r="T420" s="7"/>
    </row>
    <row r="421" customFormat="false" ht="15" hidden="false" customHeight="false" outlineLevel="0" collapsed="false">
      <c r="A421" s="7"/>
      <c r="B421" s="7"/>
      <c r="C421" s="7"/>
      <c r="D421" s="7"/>
      <c r="E421" s="7"/>
      <c r="F421" s="7"/>
      <c r="G421" s="8"/>
      <c r="H421" s="9"/>
      <c r="I421" s="9"/>
      <c r="J421" s="9"/>
      <c r="K421" s="7"/>
      <c r="L421" s="7"/>
      <c r="M421" s="9" t="str">
        <f aca="false">IF(AND(H421&lt;&gt;"",I421&lt;&gt;"",K421&lt;&gt;""),ABS(H421-I421)*K421,"")</f>
        <v/>
      </c>
      <c r="N421" s="9"/>
      <c r="O421" s="7"/>
      <c r="P421" s="9" t="str">
        <f aca="false">IF(N421&lt;&gt;"",(N421-H421)*K421*IF(E421="Buy",1,-1),"")</f>
        <v/>
      </c>
      <c r="Q421" s="10" t="str">
        <f aca="false">IF(AND(P421&lt;&gt;"",H421&lt;&gt;0,K421&lt;&gt;0),P421/(H421*K421),"")</f>
        <v/>
      </c>
      <c r="R421" s="11" t="str">
        <f aca="false">IF(AND(N421&lt;&gt;"",H421&lt;&gt;I421),IF(E421="Buy",(N421-H421)/(H421-I421),(H421-N421)/(I421-H421)),"")</f>
        <v/>
      </c>
      <c r="S421" s="7" t="str">
        <f aca="false">IF(D421="","",IF(N421&lt;&gt;"","Closed","Open"))</f>
        <v/>
      </c>
      <c r="T421" s="7"/>
    </row>
    <row r="422" customFormat="false" ht="15" hidden="false" customHeight="false" outlineLevel="0" collapsed="false">
      <c r="A422" s="7"/>
      <c r="B422" s="7"/>
      <c r="C422" s="7"/>
      <c r="D422" s="7"/>
      <c r="E422" s="7"/>
      <c r="F422" s="7"/>
      <c r="G422" s="8"/>
      <c r="H422" s="9"/>
      <c r="I422" s="9"/>
      <c r="J422" s="9"/>
      <c r="K422" s="7"/>
      <c r="L422" s="7"/>
      <c r="M422" s="9" t="str">
        <f aca="false">IF(AND(H422&lt;&gt;"",I422&lt;&gt;"",K422&lt;&gt;""),ABS(H422-I422)*K422,"")</f>
        <v/>
      </c>
      <c r="N422" s="9"/>
      <c r="O422" s="7"/>
      <c r="P422" s="9" t="str">
        <f aca="false">IF(N422&lt;&gt;"",(N422-H422)*K422*IF(E422="Buy",1,-1),"")</f>
        <v/>
      </c>
      <c r="Q422" s="10" t="str">
        <f aca="false">IF(AND(P422&lt;&gt;"",H422&lt;&gt;0,K422&lt;&gt;0),P422/(H422*K422),"")</f>
        <v/>
      </c>
      <c r="R422" s="11" t="str">
        <f aca="false">IF(AND(N422&lt;&gt;"",H422&lt;&gt;I422),IF(E422="Buy",(N422-H422)/(H422-I422),(H422-N422)/(I422-H422)),"")</f>
        <v/>
      </c>
      <c r="S422" s="7" t="str">
        <f aca="false">IF(D422="","",IF(N422&lt;&gt;"","Closed","Open"))</f>
        <v/>
      </c>
      <c r="T422" s="7"/>
    </row>
    <row r="423" customFormat="false" ht="15" hidden="false" customHeight="false" outlineLevel="0" collapsed="false">
      <c r="A423" s="7"/>
      <c r="B423" s="7"/>
      <c r="C423" s="7"/>
      <c r="D423" s="7"/>
      <c r="E423" s="7"/>
      <c r="F423" s="7"/>
      <c r="G423" s="8"/>
      <c r="H423" s="9"/>
      <c r="I423" s="9"/>
      <c r="J423" s="9"/>
      <c r="K423" s="7"/>
      <c r="L423" s="7"/>
      <c r="M423" s="9" t="str">
        <f aca="false">IF(AND(H423&lt;&gt;"",I423&lt;&gt;"",K423&lt;&gt;""),ABS(H423-I423)*K423,"")</f>
        <v/>
      </c>
      <c r="N423" s="9"/>
      <c r="O423" s="7"/>
      <c r="P423" s="9" t="str">
        <f aca="false">IF(N423&lt;&gt;"",(N423-H423)*K423*IF(E423="Buy",1,-1),"")</f>
        <v/>
      </c>
      <c r="Q423" s="10" t="str">
        <f aca="false">IF(AND(P423&lt;&gt;"",H423&lt;&gt;0,K423&lt;&gt;0),P423/(H423*K423),"")</f>
        <v/>
      </c>
      <c r="R423" s="11" t="str">
        <f aca="false">IF(AND(N423&lt;&gt;"",H423&lt;&gt;I423),IF(E423="Buy",(N423-H423)/(H423-I423),(H423-N423)/(I423-H423)),"")</f>
        <v/>
      </c>
      <c r="S423" s="7" t="str">
        <f aca="false">IF(D423="","",IF(N423&lt;&gt;"","Closed","Open"))</f>
        <v/>
      </c>
      <c r="T423" s="7"/>
    </row>
    <row r="424" customFormat="false" ht="15" hidden="false" customHeight="false" outlineLevel="0" collapsed="false">
      <c r="A424" s="7"/>
      <c r="B424" s="7"/>
      <c r="C424" s="7"/>
      <c r="D424" s="7"/>
      <c r="E424" s="7"/>
      <c r="F424" s="7"/>
      <c r="G424" s="8"/>
      <c r="H424" s="9"/>
      <c r="I424" s="9"/>
      <c r="J424" s="9"/>
      <c r="K424" s="7"/>
      <c r="L424" s="7"/>
      <c r="M424" s="9" t="str">
        <f aca="false">IF(AND(H424&lt;&gt;"",I424&lt;&gt;"",K424&lt;&gt;""),ABS(H424-I424)*K424,"")</f>
        <v/>
      </c>
      <c r="N424" s="9"/>
      <c r="O424" s="7"/>
      <c r="P424" s="9" t="str">
        <f aca="false">IF(N424&lt;&gt;"",(N424-H424)*K424*IF(E424="Buy",1,-1),"")</f>
        <v/>
      </c>
      <c r="Q424" s="10" t="str">
        <f aca="false">IF(AND(P424&lt;&gt;"",H424&lt;&gt;0,K424&lt;&gt;0),P424/(H424*K424),"")</f>
        <v/>
      </c>
      <c r="R424" s="11" t="str">
        <f aca="false">IF(AND(N424&lt;&gt;"",H424&lt;&gt;I424),IF(E424="Buy",(N424-H424)/(H424-I424),(H424-N424)/(I424-H424)),"")</f>
        <v/>
      </c>
      <c r="S424" s="7" t="str">
        <f aca="false">IF(D424="","",IF(N424&lt;&gt;"","Closed","Open"))</f>
        <v/>
      </c>
      <c r="T424" s="7"/>
    </row>
    <row r="425" customFormat="false" ht="15" hidden="false" customHeight="false" outlineLevel="0" collapsed="false">
      <c r="A425" s="7"/>
      <c r="B425" s="7"/>
      <c r="C425" s="7"/>
      <c r="D425" s="7"/>
      <c r="E425" s="7"/>
      <c r="F425" s="7"/>
      <c r="G425" s="8"/>
      <c r="H425" s="9"/>
      <c r="I425" s="9"/>
      <c r="J425" s="9"/>
      <c r="K425" s="7"/>
      <c r="L425" s="7"/>
      <c r="M425" s="9" t="str">
        <f aca="false">IF(AND(H425&lt;&gt;"",I425&lt;&gt;"",K425&lt;&gt;""),ABS(H425-I425)*K425,"")</f>
        <v/>
      </c>
      <c r="N425" s="9"/>
      <c r="O425" s="7"/>
      <c r="P425" s="9" t="str">
        <f aca="false">IF(N425&lt;&gt;"",(N425-H425)*K425*IF(E425="Buy",1,-1),"")</f>
        <v/>
      </c>
      <c r="Q425" s="10" t="str">
        <f aca="false">IF(AND(P425&lt;&gt;"",H425&lt;&gt;0,K425&lt;&gt;0),P425/(H425*K425),"")</f>
        <v/>
      </c>
      <c r="R425" s="11" t="str">
        <f aca="false">IF(AND(N425&lt;&gt;"",H425&lt;&gt;I425),IF(E425="Buy",(N425-H425)/(H425-I425),(H425-N425)/(I425-H425)),"")</f>
        <v/>
      </c>
      <c r="S425" s="7" t="str">
        <f aca="false">IF(D425="","",IF(N425&lt;&gt;"","Closed","Open"))</f>
        <v/>
      </c>
      <c r="T425" s="7"/>
    </row>
    <row r="426" customFormat="false" ht="15" hidden="false" customHeight="false" outlineLevel="0" collapsed="false">
      <c r="A426" s="7"/>
      <c r="B426" s="7"/>
      <c r="C426" s="7"/>
      <c r="D426" s="7"/>
      <c r="E426" s="7"/>
      <c r="F426" s="7"/>
      <c r="G426" s="8"/>
      <c r="H426" s="9"/>
      <c r="I426" s="9"/>
      <c r="J426" s="9"/>
      <c r="K426" s="7"/>
      <c r="L426" s="7"/>
      <c r="M426" s="9" t="str">
        <f aca="false">IF(AND(H426&lt;&gt;"",I426&lt;&gt;"",K426&lt;&gt;""),ABS(H426-I426)*K426,"")</f>
        <v/>
      </c>
      <c r="N426" s="9"/>
      <c r="O426" s="7"/>
      <c r="P426" s="9" t="str">
        <f aca="false">IF(N426&lt;&gt;"",(N426-H426)*K426*IF(E426="Buy",1,-1),"")</f>
        <v/>
      </c>
      <c r="Q426" s="10" t="str">
        <f aca="false">IF(AND(P426&lt;&gt;"",H426&lt;&gt;0,K426&lt;&gt;0),P426/(H426*K426),"")</f>
        <v/>
      </c>
      <c r="R426" s="11" t="str">
        <f aca="false">IF(AND(N426&lt;&gt;"",H426&lt;&gt;I426),IF(E426="Buy",(N426-H426)/(H426-I426),(H426-N426)/(I426-H426)),"")</f>
        <v/>
      </c>
      <c r="S426" s="7" t="str">
        <f aca="false">IF(D426="","",IF(N426&lt;&gt;"","Closed","Open"))</f>
        <v/>
      </c>
      <c r="T426" s="7"/>
    </row>
    <row r="427" customFormat="false" ht="15" hidden="false" customHeight="false" outlineLevel="0" collapsed="false">
      <c r="A427" s="7"/>
      <c r="B427" s="7"/>
      <c r="C427" s="7"/>
      <c r="D427" s="7"/>
      <c r="E427" s="7"/>
      <c r="F427" s="7"/>
      <c r="G427" s="8"/>
      <c r="H427" s="9"/>
      <c r="I427" s="9"/>
      <c r="J427" s="9"/>
      <c r="K427" s="7"/>
      <c r="L427" s="7"/>
      <c r="M427" s="9" t="str">
        <f aca="false">IF(AND(H427&lt;&gt;"",I427&lt;&gt;"",K427&lt;&gt;""),ABS(H427-I427)*K427,"")</f>
        <v/>
      </c>
      <c r="N427" s="9"/>
      <c r="O427" s="7"/>
      <c r="P427" s="9" t="str">
        <f aca="false">IF(N427&lt;&gt;"",(N427-H427)*K427*IF(E427="Buy",1,-1),"")</f>
        <v/>
      </c>
      <c r="Q427" s="10" t="str">
        <f aca="false">IF(AND(P427&lt;&gt;"",H427&lt;&gt;0,K427&lt;&gt;0),P427/(H427*K427),"")</f>
        <v/>
      </c>
      <c r="R427" s="11" t="str">
        <f aca="false">IF(AND(N427&lt;&gt;"",H427&lt;&gt;I427),IF(E427="Buy",(N427-H427)/(H427-I427),(H427-N427)/(I427-H427)),"")</f>
        <v/>
      </c>
      <c r="S427" s="7" t="str">
        <f aca="false">IF(D427="","",IF(N427&lt;&gt;"","Closed","Open"))</f>
        <v/>
      </c>
      <c r="T427" s="7"/>
    </row>
    <row r="428" customFormat="false" ht="15" hidden="false" customHeight="false" outlineLevel="0" collapsed="false">
      <c r="A428" s="7"/>
      <c r="B428" s="7"/>
      <c r="C428" s="7"/>
      <c r="D428" s="7"/>
      <c r="E428" s="7"/>
      <c r="F428" s="7"/>
      <c r="G428" s="8"/>
      <c r="H428" s="9"/>
      <c r="I428" s="9"/>
      <c r="J428" s="9"/>
      <c r="K428" s="7"/>
      <c r="L428" s="7"/>
      <c r="M428" s="9" t="str">
        <f aca="false">IF(AND(H428&lt;&gt;"",I428&lt;&gt;"",K428&lt;&gt;""),ABS(H428-I428)*K428,"")</f>
        <v/>
      </c>
      <c r="N428" s="9"/>
      <c r="O428" s="7"/>
      <c r="P428" s="9" t="str">
        <f aca="false">IF(N428&lt;&gt;"",(N428-H428)*K428*IF(E428="Buy",1,-1),"")</f>
        <v/>
      </c>
      <c r="Q428" s="10" t="str">
        <f aca="false">IF(AND(P428&lt;&gt;"",H428&lt;&gt;0,K428&lt;&gt;0),P428/(H428*K428),"")</f>
        <v/>
      </c>
      <c r="R428" s="11" t="str">
        <f aca="false">IF(AND(N428&lt;&gt;"",H428&lt;&gt;I428),IF(E428="Buy",(N428-H428)/(H428-I428),(H428-N428)/(I428-H428)),"")</f>
        <v/>
      </c>
      <c r="S428" s="7" t="str">
        <f aca="false">IF(D428="","",IF(N428&lt;&gt;"","Closed","Open"))</f>
        <v/>
      </c>
      <c r="T428" s="7"/>
    </row>
    <row r="429" customFormat="false" ht="15" hidden="false" customHeight="false" outlineLevel="0" collapsed="false">
      <c r="A429" s="7"/>
      <c r="B429" s="7"/>
      <c r="C429" s="7"/>
      <c r="D429" s="7"/>
      <c r="E429" s="7"/>
      <c r="F429" s="7"/>
      <c r="G429" s="8"/>
      <c r="H429" s="9"/>
      <c r="I429" s="9"/>
      <c r="J429" s="9"/>
      <c r="K429" s="7"/>
      <c r="L429" s="7"/>
      <c r="M429" s="9" t="str">
        <f aca="false">IF(AND(H429&lt;&gt;"",I429&lt;&gt;"",K429&lt;&gt;""),ABS(H429-I429)*K429,"")</f>
        <v/>
      </c>
      <c r="N429" s="9"/>
      <c r="O429" s="7"/>
      <c r="P429" s="9" t="str">
        <f aca="false">IF(N429&lt;&gt;"",(N429-H429)*K429*IF(E429="Buy",1,-1),"")</f>
        <v/>
      </c>
      <c r="Q429" s="10" t="str">
        <f aca="false">IF(AND(P429&lt;&gt;"",H429&lt;&gt;0,K429&lt;&gt;0),P429/(H429*K429),"")</f>
        <v/>
      </c>
      <c r="R429" s="11" t="str">
        <f aca="false">IF(AND(N429&lt;&gt;"",H429&lt;&gt;I429),IF(E429="Buy",(N429-H429)/(H429-I429),(H429-N429)/(I429-H429)),"")</f>
        <v/>
      </c>
      <c r="S429" s="7" t="str">
        <f aca="false">IF(D429="","",IF(N429&lt;&gt;"","Closed","Open"))</f>
        <v/>
      </c>
      <c r="T429" s="7"/>
    </row>
    <row r="430" customFormat="false" ht="15" hidden="false" customHeight="false" outlineLevel="0" collapsed="false">
      <c r="A430" s="7"/>
      <c r="B430" s="7"/>
      <c r="C430" s="7"/>
      <c r="D430" s="7"/>
      <c r="E430" s="7"/>
      <c r="F430" s="7"/>
      <c r="G430" s="8"/>
      <c r="H430" s="9"/>
      <c r="I430" s="9"/>
      <c r="J430" s="9"/>
      <c r="K430" s="7"/>
      <c r="L430" s="7"/>
      <c r="M430" s="9" t="str">
        <f aca="false">IF(AND(H430&lt;&gt;"",I430&lt;&gt;"",K430&lt;&gt;""),ABS(H430-I430)*K430,"")</f>
        <v/>
      </c>
      <c r="N430" s="9"/>
      <c r="O430" s="7"/>
      <c r="P430" s="9" t="str">
        <f aca="false">IF(N430&lt;&gt;"",(N430-H430)*K430*IF(E430="Buy",1,-1),"")</f>
        <v/>
      </c>
      <c r="Q430" s="10" t="str">
        <f aca="false">IF(AND(P430&lt;&gt;"",H430&lt;&gt;0,K430&lt;&gt;0),P430/(H430*K430),"")</f>
        <v/>
      </c>
      <c r="R430" s="11" t="str">
        <f aca="false">IF(AND(N430&lt;&gt;"",H430&lt;&gt;I430),IF(E430="Buy",(N430-H430)/(H430-I430),(H430-N430)/(I430-H430)),"")</f>
        <v/>
      </c>
      <c r="S430" s="7" t="str">
        <f aca="false">IF(D430="","",IF(N430&lt;&gt;"","Closed","Open"))</f>
        <v/>
      </c>
      <c r="T430" s="7"/>
    </row>
    <row r="431" customFormat="false" ht="15" hidden="false" customHeight="false" outlineLevel="0" collapsed="false">
      <c r="A431" s="7"/>
      <c r="B431" s="7"/>
      <c r="C431" s="7"/>
      <c r="D431" s="7"/>
      <c r="E431" s="7"/>
      <c r="F431" s="7"/>
      <c r="G431" s="8"/>
      <c r="H431" s="9"/>
      <c r="I431" s="9"/>
      <c r="J431" s="9"/>
      <c r="K431" s="7"/>
      <c r="L431" s="7"/>
      <c r="M431" s="9" t="str">
        <f aca="false">IF(AND(H431&lt;&gt;"",I431&lt;&gt;"",K431&lt;&gt;""),ABS(H431-I431)*K431,"")</f>
        <v/>
      </c>
      <c r="N431" s="9"/>
      <c r="O431" s="7"/>
      <c r="P431" s="9" t="str">
        <f aca="false">IF(N431&lt;&gt;"",(N431-H431)*K431*IF(E431="Buy",1,-1),"")</f>
        <v/>
      </c>
      <c r="Q431" s="10" t="str">
        <f aca="false">IF(AND(P431&lt;&gt;"",H431&lt;&gt;0,K431&lt;&gt;0),P431/(H431*K431),"")</f>
        <v/>
      </c>
      <c r="R431" s="11" t="str">
        <f aca="false">IF(AND(N431&lt;&gt;"",H431&lt;&gt;I431),IF(E431="Buy",(N431-H431)/(H431-I431),(H431-N431)/(I431-H431)),"")</f>
        <v/>
      </c>
      <c r="S431" s="7" t="str">
        <f aca="false">IF(D431="","",IF(N431&lt;&gt;"","Closed","Open"))</f>
        <v/>
      </c>
      <c r="T431" s="7"/>
    </row>
    <row r="432" customFormat="false" ht="15" hidden="false" customHeight="false" outlineLevel="0" collapsed="false">
      <c r="A432" s="7"/>
      <c r="B432" s="7"/>
      <c r="C432" s="7"/>
      <c r="D432" s="7"/>
      <c r="E432" s="7"/>
      <c r="F432" s="7"/>
      <c r="G432" s="8"/>
      <c r="H432" s="9"/>
      <c r="I432" s="9"/>
      <c r="J432" s="9"/>
      <c r="K432" s="7"/>
      <c r="L432" s="7"/>
      <c r="M432" s="9" t="str">
        <f aca="false">IF(AND(H432&lt;&gt;"",I432&lt;&gt;"",K432&lt;&gt;""),ABS(H432-I432)*K432,"")</f>
        <v/>
      </c>
      <c r="N432" s="9"/>
      <c r="O432" s="7"/>
      <c r="P432" s="9" t="str">
        <f aca="false">IF(N432&lt;&gt;"",(N432-H432)*K432*IF(E432="Buy",1,-1),"")</f>
        <v/>
      </c>
      <c r="Q432" s="10" t="str">
        <f aca="false">IF(AND(P432&lt;&gt;"",H432&lt;&gt;0,K432&lt;&gt;0),P432/(H432*K432),"")</f>
        <v/>
      </c>
      <c r="R432" s="11" t="str">
        <f aca="false">IF(AND(N432&lt;&gt;"",H432&lt;&gt;I432),IF(E432="Buy",(N432-H432)/(H432-I432),(H432-N432)/(I432-H432)),"")</f>
        <v/>
      </c>
      <c r="S432" s="7" t="str">
        <f aca="false">IF(D432="","",IF(N432&lt;&gt;"","Closed","Open"))</f>
        <v/>
      </c>
      <c r="T432" s="7"/>
    </row>
    <row r="433" customFormat="false" ht="15" hidden="false" customHeight="false" outlineLevel="0" collapsed="false">
      <c r="A433" s="7"/>
      <c r="B433" s="7"/>
      <c r="C433" s="7"/>
      <c r="D433" s="7"/>
      <c r="E433" s="7"/>
      <c r="F433" s="7"/>
      <c r="G433" s="8"/>
      <c r="H433" s="9"/>
      <c r="I433" s="9"/>
      <c r="J433" s="9"/>
      <c r="K433" s="7"/>
      <c r="L433" s="7"/>
      <c r="M433" s="9" t="str">
        <f aca="false">IF(AND(H433&lt;&gt;"",I433&lt;&gt;"",K433&lt;&gt;""),ABS(H433-I433)*K433,"")</f>
        <v/>
      </c>
      <c r="N433" s="9"/>
      <c r="O433" s="7"/>
      <c r="P433" s="9" t="str">
        <f aca="false">IF(N433&lt;&gt;"",(N433-H433)*K433*IF(E433="Buy",1,-1),"")</f>
        <v/>
      </c>
      <c r="Q433" s="10" t="str">
        <f aca="false">IF(AND(P433&lt;&gt;"",H433&lt;&gt;0,K433&lt;&gt;0),P433/(H433*K433),"")</f>
        <v/>
      </c>
      <c r="R433" s="11" t="str">
        <f aca="false">IF(AND(N433&lt;&gt;"",H433&lt;&gt;I433),IF(E433="Buy",(N433-H433)/(H433-I433),(H433-N433)/(I433-H433)),"")</f>
        <v/>
      </c>
      <c r="S433" s="7" t="str">
        <f aca="false">IF(D433="","",IF(N433&lt;&gt;"","Closed","Open"))</f>
        <v/>
      </c>
      <c r="T433" s="7"/>
    </row>
    <row r="434" customFormat="false" ht="15" hidden="false" customHeight="false" outlineLevel="0" collapsed="false">
      <c r="A434" s="7"/>
      <c r="B434" s="7"/>
      <c r="C434" s="7"/>
      <c r="D434" s="7"/>
      <c r="E434" s="7"/>
      <c r="F434" s="7"/>
      <c r="G434" s="8"/>
      <c r="H434" s="9"/>
      <c r="I434" s="9"/>
      <c r="J434" s="9"/>
      <c r="K434" s="7"/>
      <c r="L434" s="7"/>
      <c r="M434" s="9" t="str">
        <f aca="false">IF(AND(H434&lt;&gt;"",I434&lt;&gt;"",K434&lt;&gt;""),ABS(H434-I434)*K434,"")</f>
        <v/>
      </c>
      <c r="N434" s="9"/>
      <c r="O434" s="7"/>
      <c r="P434" s="9" t="str">
        <f aca="false">IF(N434&lt;&gt;"",(N434-H434)*K434*IF(E434="Buy",1,-1),"")</f>
        <v/>
      </c>
      <c r="Q434" s="10" t="str">
        <f aca="false">IF(AND(P434&lt;&gt;"",H434&lt;&gt;0,K434&lt;&gt;0),P434/(H434*K434),"")</f>
        <v/>
      </c>
      <c r="R434" s="11" t="str">
        <f aca="false">IF(AND(N434&lt;&gt;"",H434&lt;&gt;I434),IF(E434="Buy",(N434-H434)/(H434-I434),(H434-N434)/(I434-H434)),"")</f>
        <v/>
      </c>
      <c r="S434" s="7" t="str">
        <f aca="false">IF(D434="","",IF(N434&lt;&gt;"","Closed","Open"))</f>
        <v/>
      </c>
      <c r="T434" s="7"/>
    </row>
    <row r="435" customFormat="false" ht="15" hidden="false" customHeight="false" outlineLevel="0" collapsed="false">
      <c r="A435" s="7"/>
      <c r="B435" s="7"/>
      <c r="C435" s="7"/>
      <c r="D435" s="7"/>
      <c r="E435" s="7"/>
      <c r="F435" s="7"/>
      <c r="G435" s="8"/>
      <c r="H435" s="9"/>
      <c r="I435" s="9"/>
      <c r="J435" s="9"/>
      <c r="K435" s="7"/>
      <c r="L435" s="7"/>
      <c r="M435" s="9" t="str">
        <f aca="false">IF(AND(H435&lt;&gt;"",I435&lt;&gt;"",K435&lt;&gt;""),ABS(H435-I435)*K435,"")</f>
        <v/>
      </c>
      <c r="N435" s="9"/>
      <c r="O435" s="7"/>
      <c r="P435" s="9" t="str">
        <f aca="false">IF(N435&lt;&gt;"",(N435-H435)*K435*IF(E435="Buy",1,-1),"")</f>
        <v/>
      </c>
      <c r="Q435" s="10" t="str">
        <f aca="false">IF(AND(P435&lt;&gt;"",H435&lt;&gt;0,K435&lt;&gt;0),P435/(H435*K435),"")</f>
        <v/>
      </c>
      <c r="R435" s="11" t="str">
        <f aca="false">IF(AND(N435&lt;&gt;"",H435&lt;&gt;I435),IF(E435="Buy",(N435-H435)/(H435-I435),(H435-N435)/(I435-H435)),"")</f>
        <v/>
      </c>
      <c r="S435" s="7" t="str">
        <f aca="false">IF(D435="","",IF(N435&lt;&gt;"","Closed","Open"))</f>
        <v/>
      </c>
      <c r="T435" s="7"/>
    </row>
    <row r="436" customFormat="false" ht="15" hidden="false" customHeight="false" outlineLevel="0" collapsed="false">
      <c r="A436" s="7"/>
      <c r="B436" s="7"/>
      <c r="C436" s="7"/>
      <c r="D436" s="7"/>
      <c r="E436" s="7"/>
      <c r="F436" s="7"/>
      <c r="G436" s="8"/>
      <c r="H436" s="9"/>
      <c r="I436" s="9"/>
      <c r="J436" s="9"/>
      <c r="K436" s="7"/>
      <c r="L436" s="7"/>
      <c r="M436" s="9" t="str">
        <f aca="false">IF(AND(H436&lt;&gt;"",I436&lt;&gt;"",K436&lt;&gt;""),ABS(H436-I436)*K436,"")</f>
        <v/>
      </c>
      <c r="N436" s="9"/>
      <c r="O436" s="7"/>
      <c r="P436" s="9" t="str">
        <f aca="false">IF(N436&lt;&gt;"",(N436-H436)*K436*IF(E436="Buy",1,-1),"")</f>
        <v/>
      </c>
      <c r="Q436" s="10" t="str">
        <f aca="false">IF(AND(P436&lt;&gt;"",H436&lt;&gt;0,K436&lt;&gt;0),P436/(H436*K436),"")</f>
        <v/>
      </c>
      <c r="R436" s="11" t="str">
        <f aca="false">IF(AND(N436&lt;&gt;"",H436&lt;&gt;I436),IF(E436="Buy",(N436-H436)/(H436-I436),(H436-N436)/(I436-H436)),"")</f>
        <v/>
      </c>
      <c r="S436" s="7" t="str">
        <f aca="false">IF(D436="","",IF(N436&lt;&gt;"","Closed","Open"))</f>
        <v/>
      </c>
      <c r="T436" s="7"/>
    </row>
    <row r="437" customFormat="false" ht="15" hidden="false" customHeight="false" outlineLevel="0" collapsed="false">
      <c r="A437" s="7"/>
      <c r="B437" s="7"/>
      <c r="C437" s="7"/>
      <c r="D437" s="7"/>
      <c r="E437" s="7"/>
      <c r="F437" s="7"/>
      <c r="G437" s="8"/>
      <c r="H437" s="9"/>
      <c r="I437" s="9"/>
      <c r="J437" s="9"/>
      <c r="K437" s="7"/>
      <c r="L437" s="7"/>
      <c r="M437" s="9" t="str">
        <f aca="false">IF(AND(H437&lt;&gt;"",I437&lt;&gt;"",K437&lt;&gt;""),ABS(H437-I437)*K437,"")</f>
        <v/>
      </c>
      <c r="N437" s="9"/>
      <c r="O437" s="7"/>
      <c r="P437" s="9" t="str">
        <f aca="false">IF(N437&lt;&gt;"",(N437-H437)*K437*IF(E437="Buy",1,-1),"")</f>
        <v/>
      </c>
      <c r="Q437" s="10" t="str">
        <f aca="false">IF(AND(P437&lt;&gt;"",H437&lt;&gt;0,K437&lt;&gt;0),P437/(H437*K437),"")</f>
        <v/>
      </c>
      <c r="R437" s="11" t="str">
        <f aca="false">IF(AND(N437&lt;&gt;"",H437&lt;&gt;I437),IF(E437="Buy",(N437-H437)/(H437-I437),(H437-N437)/(I437-H437)),"")</f>
        <v/>
      </c>
      <c r="S437" s="7" t="str">
        <f aca="false">IF(D437="","",IF(N437&lt;&gt;"","Closed","Open"))</f>
        <v/>
      </c>
      <c r="T437" s="7"/>
    </row>
    <row r="438" customFormat="false" ht="15" hidden="false" customHeight="false" outlineLevel="0" collapsed="false">
      <c r="A438" s="7"/>
      <c r="B438" s="7"/>
      <c r="C438" s="7"/>
      <c r="D438" s="7"/>
      <c r="E438" s="7"/>
      <c r="F438" s="7"/>
      <c r="G438" s="8"/>
      <c r="H438" s="9"/>
      <c r="I438" s="9"/>
      <c r="J438" s="9"/>
      <c r="K438" s="7"/>
      <c r="L438" s="7"/>
      <c r="M438" s="9" t="str">
        <f aca="false">IF(AND(H438&lt;&gt;"",I438&lt;&gt;"",K438&lt;&gt;""),ABS(H438-I438)*K438,"")</f>
        <v/>
      </c>
      <c r="N438" s="9"/>
      <c r="O438" s="7"/>
      <c r="P438" s="9" t="str">
        <f aca="false">IF(N438&lt;&gt;"",(N438-H438)*K438*IF(E438="Buy",1,-1),"")</f>
        <v/>
      </c>
      <c r="Q438" s="10" t="str">
        <f aca="false">IF(AND(P438&lt;&gt;"",H438&lt;&gt;0,K438&lt;&gt;0),P438/(H438*K438),"")</f>
        <v/>
      </c>
      <c r="R438" s="11" t="str">
        <f aca="false">IF(AND(N438&lt;&gt;"",H438&lt;&gt;I438),IF(E438="Buy",(N438-H438)/(H438-I438),(H438-N438)/(I438-H438)),"")</f>
        <v/>
      </c>
      <c r="S438" s="7" t="str">
        <f aca="false">IF(D438="","",IF(N438&lt;&gt;"","Closed","Open"))</f>
        <v/>
      </c>
      <c r="T438" s="7"/>
    </row>
    <row r="439" customFormat="false" ht="15" hidden="false" customHeight="false" outlineLevel="0" collapsed="false">
      <c r="A439" s="7"/>
      <c r="B439" s="7"/>
      <c r="C439" s="7"/>
      <c r="D439" s="7"/>
      <c r="E439" s="7"/>
      <c r="F439" s="7"/>
      <c r="G439" s="8"/>
      <c r="H439" s="9"/>
      <c r="I439" s="9"/>
      <c r="J439" s="9"/>
      <c r="K439" s="7"/>
      <c r="L439" s="7"/>
      <c r="M439" s="9" t="str">
        <f aca="false">IF(AND(H439&lt;&gt;"",I439&lt;&gt;"",K439&lt;&gt;""),ABS(H439-I439)*K439,"")</f>
        <v/>
      </c>
      <c r="N439" s="9"/>
      <c r="O439" s="7"/>
      <c r="P439" s="9" t="str">
        <f aca="false">IF(N439&lt;&gt;"",(N439-H439)*K439*IF(E439="Buy",1,-1),"")</f>
        <v/>
      </c>
      <c r="Q439" s="10" t="str">
        <f aca="false">IF(AND(P439&lt;&gt;"",H439&lt;&gt;0,K439&lt;&gt;0),P439/(H439*K439),"")</f>
        <v/>
      </c>
      <c r="R439" s="11" t="str">
        <f aca="false">IF(AND(N439&lt;&gt;"",H439&lt;&gt;I439),IF(E439="Buy",(N439-H439)/(H439-I439),(H439-N439)/(I439-H439)),"")</f>
        <v/>
      </c>
      <c r="S439" s="7" t="str">
        <f aca="false">IF(D439="","",IF(N439&lt;&gt;"","Closed","Open"))</f>
        <v/>
      </c>
      <c r="T439" s="7"/>
    </row>
    <row r="440" customFormat="false" ht="15" hidden="false" customHeight="false" outlineLevel="0" collapsed="false">
      <c r="A440" s="7"/>
      <c r="B440" s="7"/>
      <c r="C440" s="7"/>
      <c r="D440" s="7"/>
      <c r="E440" s="7"/>
      <c r="F440" s="7"/>
      <c r="G440" s="8"/>
      <c r="H440" s="9"/>
      <c r="I440" s="9"/>
      <c r="J440" s="9"/>
      <c r="K440" s="7"/>
      <c r="L440" s="7"/>
      <c r="M440" s="9" t="str">
        <f aca="false">IF(AND(H440&lt;&gt;"",I440&lt;&gt;"",K440&lt;&gt;""),ABS(H440-I440)*K440,"")</f>
        <v/>
      </c>
      <c r="N440" s="9"/>
      <c r="O440" s="7"/>
      <c r="P440" s="9" t="str">
        <f aca="false">IF(N440&lt;&gt;"",(N440-H440)*K440*IF(E440="Buy",1,-1),"")</f>
        <v/>
      </c>
      <c r="Q440" s="10" t="str">
        <f aca="false">IF(AND(P440&lt;&gt;"",H440&lt;&gt;0,K440&lt;&gt;0),P440/(H440*K440),"")</f>
        <v/>
      </c>
      <c r="R440" s="11" t="str">
        <f aca="false">IF(AND(N440&lt;&gt;"",H440&lt;&gt;I440),IF(E440="Buy",(N440-H440)/(H440-I440),(H440-N440)/(I440-H440)),"")</f>
        <v/>
      </c>
      <c r="S440" s="7" t="str">
        <f aca="false">IF(D440="","",IF(N440&lt;&gt;"","Closed","Open"))</f>
        <v/>
      </c>
      <c r="T440" s="7"/>
    </row>
    <row r="441" customFormat="false" ht="15" hidden="false" customHeight="false" outlineLevel="0" collapsed="false">
      <c r="A441" s="7"/>
      <c r="B441" s="7"/>
      <c r="C441" s="7"/>
      <c r="D441" s="7"/>
      <c r="E441" s="7"/>
      <c r="F441" s="7"/>
      <c r="G441" s="8"/>
      <c r="H441" s="9"/>
      <c r="I441" s="9"/>
      <c r="J441" s="9"/>
      <c r="K441" s="7"/>
      <c r="L441" s="7"/>
      <c r="M441" s="9" t="str">
        <f aca="false">IF(AND(H441&lt;&gt;"",I441&lt;&gt;"",K441&lt;&gt;""),ABS(H441-I441)*K441,"")</f>
        <v/>
      </c>
      <c r="N441" s="9"/>
      <c r="O441" s="7"/>
      <c r="P441" s="9" t="str">
        <f aca="false">IF(N441&lt;&gt;"",(N441-H441)*K441*IF(E441="Buy",1,-1),"")</f>
        <v/>
      </c>
      <c r="Q441" s="10" t="str">
        <f aca="false">IF(AND(P441&lt;&gt;"",H441&lt;&gt;0,K441&lt;&gt;0),P441/(H441*K441),"")</f>
        <v/>
      </c>
      <c r="R441" s="11" t="str">
        <f aca="false">IF(AND(N441&lt;&gt;"",H441&lt;&gt;I441),IF(E441="Buy",(N441-H441)/(H441-I441),(H441-N441)/(I441-H441)),"")</f>
        <v/>
      </c>
      <c r="S441" s="7" t="str">
        <f aca="false">IF(D441="","",IF(N441&lt;&gt;"","Closed","Open"))</f>
        <v/>
      </c>
      <c r="T441" s="7"/>
    </row>
    <row r="442" customFormat="false" ht="15" hidden="false" customHeight="false" outlineLevel="0" collapsed="false">
      <c r="A442" s="7"/>
      <c r="B442" s="7"/>
      <c r="C442" s="7"/>
      <c r="D442" s="7"/>
      <c r="E442" s="7"/>
      <c r="F442" s="7"/>
      <c r="G442" s="8"/>
      <c r="H442" s="9"/>
      <c r="I442" s="9"/>
      <c r="J442" s="9"/>
      <c r="K442" s="7"/>
      <c r="L442" s="7"/>
      <c r="M442" s="9" t="str">
        <f aca="false">IF(AND(H442&lt;&gt;"",I442&lt;&gt;"",K442&lt;&gt;""),ABS(H442-I442)*K442,"")</f>
        <v/>
      </c>
      <c r="N442" s="9"/>
      <c r="O442" s="7"/>
      <c r="P442" s="9" t="str">
        <f aca="false">IF(N442&lt;&gt;"",(N442-H442)*K442*IF(E442="Buy",1,-1),"")</f>
        <v/>
      </c>
      <c r="Q442" s="10" t="str">
        <f aca="false">IF(AND(P442&lt;&gt;"",H442&lt;&gt;0,K442&lt;&gt;0),P442/(H442*K442),"")</f>
        <v/>
      </c>
      <c r="R442" s="11" t="str">
        <f aca="false">IF(AND(N442&lt;&gt;"",H442&lt;&gt;I442),IF(E442="Buy",(N442-H442)/(H442-I442),(H442-N442)/(I442-H442)),"")</f>
        <v/>
      </c>
      <c r="S442" s="7" t="str">
        <f aca="false">IF(D442="","",IF(N442&lt;&gt;"","Closed","Open"))</f>
        <v/>
      </c>
      <c r="T442" s="7"/>
    </row>
    <row r="443" customFormat="false" ht="15" hidden="false" customHeight="false" outlineLevel="0" collapsed="false">
      <c r="A443" s="7"/>
      <c r="B443" s="7"/>
      <c r="C443" s="7"/>
      <c r="D443" s="7"/>
      <c r="E443" s="7"/>
      <c r="F443" s="7"/>
      <c r="G443" s="8"/>
      <c r="H443" s="9"/>
      <c r="I443" s="9"/>
      <c r="J443" s="9"/>
      <c r="K443" s="7"/>
      <c r="L443" s="7"/>
      <c r="M443" s="9" t="str">
        <f aca="false">IF(AND(H443&lt;&gt;"",I443&lt;&gt;"",K443&lt;&gt;""),ABS(H443-I443)*K443,"")</f>
        <v/>
      </c>
      <c r="N443" s="9"/>
      <c r="O443" s="7"/>
      <c r="P443" s="9" t="str">
        <f aca="false">IF(N443&lt;&gt;"",(N443-H443)*K443*IF(E443="Buy",1,-1),"")</f>
        <v/>
      </c>
      <c r="Q443" s="10" t="str">
        <f aca="false">IF(AND(P443&lt;&gt;"",H443&lt;&gt;0,K443&lt;&gt;0),P443/(H443*K443),"")</f>
        <v/>
      </c>
      <c r="R443" s="11" t="str">
        <f aca="false">IF(AND(N443&lt;&gt;"",H443&lt;&gt;I443),IF(E443="Buy",(N443-H443)/(H443-I443),(H443-N443)/(I443-H443)),"")</f>
        <v/>
      </c>
      <c r="S443" s="7" t="str">
        <f aca="false">IF(D443="","",IF(N443&lt;&gt;"","Closed","Open"))</f>
        <v/>
      </c>
      <c r="T443" s="7"/>
    </row>
    <row r="444" customFormat="false" ht="15" hidden="false" customHeight="false" outlineLevel="0" collapsed="false">
      <c r="A444" s="7"/>
      <c r="B444" s="7"/>
      <c r="C444" s="7"/>
      <c r="D444" s="7"/>
      <c r="E444" s="7"/>
      <c r="F444" s="7"/>
      <c r="G444" s="8"/>
      <c r="H444" s="9"/>
      <c r="I444" s="9"/>
      <c r="J444" s="9"/>
      <c r="K444" s="7"/>
      <c r="L444" s="7"/>
      <c r="M444" s="9" t="str">
        <f aca="false">IF(AND(H444&lt;&gt;"",I444&lt;&gt;"",K444&lt;&gt;""),ABS(H444-I444)*K444,"")</f>
        <v/>
      </c>
      <c r="N444" s="9"/>
      <c r="O444" s="7"/>
      <c r="P444" s="9" t="str">
        <f aca="false">IF(N444&lt;&gt;"",(N444-H444)*K444*IF(E444="Buy",1,-1),"")</f>
        <v/>
      </c>
      <c r="Q444" s="10" t="str">
        <f aca="false">IF(AND(P444&lt;&gt;"",H444&lt;&gt;0,K444&lt;&gt;0),P444/(H444*K444),"")</f>
        <v/>
      </c>
      <c r="R444" s="11" t="str">
        <f aca="false">IF(AND(N444&lt;&gt;"",H444&lt;&gt;I444),IF(E444="Buy",(N444-H444)/(H444-I444),(H444-N444)/(I444-H444)),"")</f>
        <v/>
      </c>
      <c r="S444" s="7" t="str">
        <f aca="false">IF(D444="","",IF(N444&lt;&gt;"","Closed","Open"))</f>
        <v/>
      </c>
      <c r="T444" s="7"/>
    </row>
    <row r="445" customFormat="false" ht="15" hidden="false" customHeight="false" outlineLevel="0" collapsed="false">
      <c r="A445" s="7"/>
      <c r="B445" s="7"/>
      <c r="C445" s="7"/>
      <c r="D445" s="7"/>
      <c r="E445" s="7"/>
      <c r="F445" s="7"/>
      <c r="G445" s="8"/>
      <c r="H445" s="9"/>
      <c r="I445" s="9"/>
      <c r="J445" s="9"/>
      <c r="K445" s="7"/>
      <c r="L445" s="7"/>
      <c r="M445" s="9" t="str">
        <f aca="false">IF(AND(H445&lt;&gt;"",I445&lt;&gt;"",K445&lt;&gt;""),ABS(H445-I445)*K445,"")</f>
        <v/>
      </c>
      <c r="N445" s="9"/>
      <c r="O445" s="7"/>
      <c r="P445" s="9" t="str">
        <f aca="false">IF(N445&lt;&gt;"",(N445-H445)*K445*IF(E445="Buy",1,-1),"")</f>
        <v/>
      </c>
      <c r="Q445" s="10" t="str">
        <f aca="false">IF(AND(P445&lt;&gt;"",H445&lt;&gt;0,K445&lt;&gt;0),P445/(H445*K445),"")</f>
        <v/>
      </c>
      <c r="R445" s="11" t="str">
        <f aca="false">IF(AND(N445&lt;&gt;"",H445&lt;&gt;I445),IF(E445="Buy",(N445-H445)/(H445-I445),(H445-N445)/(I445-H445)),"")</f>
        <v/>
      </c>
      <c r="S445" s="7" t="str">
        <f aca="false">IF(D445="","",IF(N445&lt;&gt;"","Closed","Open"))</f>
        <v/>
      </c>
      <c r="T445" s="7"/>
    </row>
    <row r="446" customFormat="false" ht="15" hidden="false" customHeight="false" outlineLevel="0" collapsed="false">
      <c r="A446" s="7"/>
      <c r="B446" s="7"/>
      <c r="C446" s="7"/>
      <c r="D446" s="7"/>
      <c r="E446" s="7"/>
      <c r="F446" s="7"/>
      <c r="G446" s="8"/>
      <c r="H446" s="9"/>
      <c r="I446" s="9"/>
      <c r="J446" s="9"/>
      <c r="K446" s="7"/>
      <c r="L446" s="7"/>
      <c r="M446" s="9" t="str">
        <f aca="false">IF(AND(H446&lt;&gt;"",I446&lt;&gt;"",K446&lt;&gt;""),ABS(H446-I446)*K446,"")</f>
        <v/>
      </c>
      <c r="N446" s="9"/>
      <c r="O446" s="7"/>
      <c r="P446" s="9" t="str">
        <f aca="false">IF(N446&lt;&gt;"",(N446-H446)*K446*IF(E446="Buy",1,-1),"")</f>
        <v/>
      </c>
      <c r="Q446" s="10" t="str">
        <f aca="false">IF(AND(P446&lt;&gt;"",H446&lt;&gt;0,K446&lt;&gt;0),P446/(H446*K446),"")</f>
        <v/>
      </c>
      <c r="R446" s="11" t="str">
        <f aca="false">IF(AND(N446&lt;&gt;"",H446&lt;&gt;I446),IF(E446="Buy",(N446-H446)/(H446-I446),(H446-N446)/(I446-H446)),"")</f>
        <v/>
      </c>
      <c r="S446" s="7" t="str">
        <f aca="false">IF(D446="","",IF(N446&lt;&gt;"","Closed","Open"))</f>
        <v/>
      </c>
      <c r="T446" s="7"/>
    </row>
    <row r="447" customFormat="false" ht="15" hidden="false" customHeight="false" outlineLevel="0" collapsed="false">
      <c r="A447" s="7"/>
      <c r="B447" s="7"/>
      <c r="C447" s="7"/>
      <c r="D447" s="7"/>
      <c r="E447" s="7"/>
      <c r="F447" s="7"/>
      <c r="G447" s="8"/>
      <c r="H447" s="9"/>
      <c r="I447" s="9"/>
      <c r="J447" s="9"/>
      <c r="K447" s="7"/>
      <c r="L447" s="7"/>
      <c r="M447" s="9" t="str">
        <f aca="false">IF(AND(H447&lt;&gt;"",I447&lt;&gt;"",K447&lt;&gt;""),ABS(H447-I447)*K447,"")</f>
        <v/>
      </c>
      <c r="N447" s="9"/>
      <c r="O447" s="7"/>
      <c r="P447" s="9" t="str">
        <f aca="false">IF(N447&lt;&gt;"",(N447-H447)*K447*IF(E447="Buy",1,-1),"")</f>
        <v/>
      </c>
      <c r="Q447" s="10" t="str">
        <f aca="false">IF(AND(P447&lt;&gt;"",H447&lt;&gt;0,K447&lt;&gt;0),P447/(H447*K447),"")</f>
        <v/>
      </c>
      <c r="R447" s="11" t="str">
        <f aca="false">IF(AND(N447&lt;&gt;"",H447&lt;&gt;I447),IF(E447="Buy",(N447-H447)/(H447-I447),(H447-N447)/(I447-H447)),"")</f>
        <v/>
      </c>
      <c r="S447" s="7" t="str">
        <f aca="false">IF(D447="","",IF(N447&lt;&gt;"","Closed","Open"))</f>
        <v/>
      </c>
      <c r="T447" s="7"/>
    </row>
    <row r="448" customFormat="false" ht="15" hidden="false" customHeight="false" outlineLevel="0" collapsed="false">
      <c r="A448" s="7"/>
      <c r="B448" s="7"/>
      <c r="C448" s="7"/>
      <c r="D448" s="7"/>
      <c r="E448" s="7"/>
      <c r="F448" s="7"/>
      <c r="G448" s="8"/>
      <c r="H448" s="9"/>
      <c r="I448" s="9"/>
      <c r="J448" s="9"/>
      <c r="K448" s="7"/>
      <c r="L448" s="7"/>
      <c r="M448" s="9" t="str">
        <f aca="false">IF(AND(H448&lt;&gt;"",I448&lt;&gt;"",K448&lt;&gt;""),ABS(H448-I448)*K448,"")</f>
        <v/>
      </c>
      <c r="N448" s="9"/>
      <c r="O448" s="7"/>
      <c r="P448" s="9" t="str">
        <f aca="false">IF(N448&lt;&gt;"",(N448-H448)*K448*IF(E448="Buy",1,-1),"")</f>
        <v/>
      </c>
      <c r="Q448" s="10" t="str">
        <f aca="false">IF(AND(P448&lt;&gt;"",H448&lt;&gt;0,K448&lt;&gt;0),P448/(H448*K448),"")</f>
        <v/>
      </c>
      <c r="R448" s="11" t="str">
        <f aca="false">IF(AND(N448&lt;&gt;"",H448&lt;&gt;I448),IF(E448="Buy",(N448-H448)/(H448-I448),(H448-N448)/(I448-H448)),"")</f>
        <v/>
      </c>
      <c r="S448" s="7" t="str">
        <f aca="false">IF(D448="","",IF(N448&lt;&gt;"","Closed","Open"))</f>
        <v/>
      </c>
      <c r="T448" s="7"/>
    </row>
    <row r="449" customFormat="false" ht="15" hidden="false" customHeight="false" outlineLevel="0" collapsed="false">
      <c r="A449" s="7"/>
      <c r="B449" s="7"/>
      <c r="C449" s="7"/>
      <c r="D449" s="7"/>
      <c r="E449" s="7"/>
      <c r="F449" s="7"/>
      <c r="G449" s="8"/>
      <c r="H449" s="9"/>
      <c r="I449" s="9"/>
      <c r="J449" s="9"/>
      <c r="K449" s="7"/>
      <c r="L449" s="7"/>
      <c r="M449" s="9" t="str">
        <f aca="false">IF(AND(H449&lt;&gt;"",I449&lt;&gt;"",K449&lt;&gt;""),ABS(H449-I449)*K449,"")</f>
        <v/>
      </c>
      <c r="N449" s="9"/>
      <c r="O449" s="7"/>
      <c r="P449" s="9" t="str">
        <f aca="false">IF(N449&lt;&gt;"",(N449-H449)*K449*IF(E449="Buy",1,-1),"")</f>
        <v/>
      </c>
      <c r="Q449" s="10" t="str">
        <f aca="false">IF(AND(P449&lt;&gt;"",H449&lt;&gt;0,K449&lt;&gt;0),P449/(H449*K449),"")</f>
        <v/>
      </c>
      <c r="R449" s="11" t="str">
        <f aca="false">IF(AND(N449&lt;&gt;"",H449&lt;&gt;I449),IF(E449="Buy",(N449-H449)/(H449-I449),(H449-N449)/(I449-H449)),"")</f>
        <v/>
      </c>
      <c r="S449" s="7" t="str">
        <f aca="false">IF(D449="","",IF(N449&lt;&gt;"","Closed","Open"))</f>
        <v/>
      </c>
      <c r="T449" s="7"/>
    </row>
    <row r="450" customFormat="false" ht="15" hidden="false" customHeight="false" outlineLevel="0" collapsed="false">
      <c r="A450" s="7"/>
      <c r="B450" s="7"/>
      <c r="C450" s="7"/>
      <c r="D450" s="7"/>
      <c r="E450" s="7"/>
      <c r="F450" s="7"/>
      <c r="G450" s="8"/>
      <c r="H450" s="9"/>
      <c r="I450" s="9"/>
      <c r="J450" s="9"/>
      <c r="K450" s="7"/>
      <c r="L450" s="7"/>
      <c r="M450" s="9" t="str">
        <f aca="false">IF(AND(H450&lt;&gt;"",I450&lt;&gt;"",K450&lt;&gt;""),ABS(H450-I450)*K450,"")</f>
        <v/>
      </c>
      <c r="N450" s="9"/>
      <c r="O450" s="7"/>
      <c r="P450" s="9" t="str">
        <f aca="false">IF(N450&lt;&gt;"",(N450-H450)*K450*IF(E450="Buy",1,-1),"")</f>
        <v/>
      </c>
      <c r="Q450" s="10" t="str">
        <f aca="false">IF(AND(P450&lt;&gt;"",H450&lt;&gt;0,K450&lt;&gt;0),P450/(H450*K450),"")</f>
        <v/>
      </c>
      <c r="R450" s="11" t="str">
        <f aca="false">IF(AND(N450&lt;&gt;"",H450&lt;&gt;I450),IF(E450="Buy",(N450-H450)/(H450-I450),(H450-N450)/(I450-H450)),"")</f>
        <v/>
      </c>
      <c r="S450" s="7" t="str">
        <f aca="false">IF(D450="","",IF(N450&lt;&gt;"","Closed","Open"))</f>
        <v/>
      </c>
      <c r="T450" s="7"/>
    </row>
    <row r="451" customFormat="false" ht="15" hidden="false" customHeight="false" outlineLevel="0" collapsed="false">
      <c r="A451" s="7"/>
      <c r="B451" s="7"/>
      <c r="C451" s="7"/>
      <c r="D451" s="7"/>
      <c r="E451" s="7"/>
      <c r="F451" s="7"/>
      <c r="G451" s="8"/>
      <c r="H451" s="9"/>
      <c r="I451" s="9"/>
      <c r="J451" s="9"/>
      <c r="K451" s="7"/>
      <c r="L451" s="7"/>
      <c r="M451" s="9" t="str">
        <f aca="false">IF(AND(H451&lt;&gt;"",I451&lt;&gt;"",K451&lt;&gt;""),ABS(H451-I451)*K451,"")</f>
        <v/>
      </c>
      <c r="N451" s="9"/>
      <c r="O451" s="7"/>
      <c r="P451" s="9" t="str">
        <f aca="false">IF(N451&lt;&gt;"",(N451-H451)*K451*IF(E451="Buy",1,-1),"")</f>
        <v/>
      </c>
      <c r="Q451" s="10" t="str">
        <f aca="false">IF(AND(P451&lt;&gt;"",H451&lt;&gt;0,K451&lt;&gt;0),P451/(H451*K451),"")</f>
        <v/>
      </c>
      <c r="R451" s="11" t="str">
        <f aca="false">IF(AND(N451&lt;&gt;"",H451&lt;&gt;I451),IF(E451="Buy",(N451-H451)/(H451-I451),(H451-N451)/(I451-H451)),"")</f>
        <v/>
      </c>
      <c r="S451" s="7" t="str">
        <f aca="false">IF(D451="","",IF(N451&lt;&gt;"","Closed","Open"))</f>
        <v/>
      </c>
      <c r="T451" s="7"/>
    </row>
    <row r="452" customFormat="false" ht="15" hidden="false" customHeight="false" outlineLevel="0" collapsed="false">
      <c r="A452" s="7"/>
      <c r="B452" s="7"/>
      <c r="C452" s="7"/>
      <c r="D452" s="7"/>
      <c r="E452" s="7"/>
      <c r="F452" s="7"/>
      <c r="G452" s="8"/>
      <c r="H452" s="9"/>
      <c r="I452" s="9"/>
      <c r="J452" s="9"/>
      <c r="K452" s="7"/>
      <c r="L452" s="7"/>
      <c r="M452" s="9" t="str">
        <f aca="false">IF(AND(H452&lt;&gt;"",I452&lt;&gt;"",K452&lt;&gt;""),ABS(H452-I452)*K452,"")</f>
        <v/>
      </c>
      <c r="N452" s="9"/>
      <c r="O452" s="7"/>
      <c r="P452" s="9" t="str">
        <f aca="false">IF(N452&lt;&gt;"",(N452-H452)*K452*IF(E452="Buy",1,-1),"")</f>
        <v/>
      </c>
      <c r="Q452" s="10" t="str">
        <f aca="false">IF(AND(P452&lt;&gt;"",H452&lt;&gt;0,K452&lt;&gt;0),P452/(H452*K452),"")</f>
        <v/>
      </c>
      <c r="R452" s="11" t="str">
        <f aca="false">IF(AND(N452&lt;&gt;"",H452&lt;&gt;I452),IF(E452="Buy",(N452-H452)/(H452-I452),(H452-N452)/(I452-H452)),"")</f>
        <v/>
      </c>
      <c r="S452" s="7" t="str">
        <f aca="false">IF(D452="","",IF(N452&lt;&gt;"","Closed","Open"))</f>
        <v/>
      </c>
      <c r="T452" s="7"/>
    </row>
    <row r="453" customFormat="false" ht="15" hidden="false" customHeight="false" outlineLevel="0" collapsed="false">
      <c r="A453" s="7"/>
      <c r="B453" s="7"/>
      <c r="C453" s="7"/>
      <c r="D453" s="7"/>
      <c r="E453" s="7"/>
      <c r="F453" s="7"/>
      <c r="G453" s="8"/>
      <c r="H453" s="9"/>
      <c r="I453" s="9"/>
      <c r="J453" s="9"/>
      <c r="K453" s="7"/>
      <c r="L453" s="7"/>
      <c r="M453" s="9" t="str">
        <f aca="false">IF(AND(H453&lt;&gt;"",I453&lt;&gt;"",K453&lt;&gt;""),ABS(H453-I453)*K453,"")</f>
        <v/>
      </c>
      <c r="N453" s="9"/>
      <c r="O453" s="7"/>
      <c r="P453" s="9" t="str">
        <f aca="false">IF(N453&lt;&gt;"",(N453-H453)*K453*IF(E453="Buy",1,-1),"")</f>
        <v/>
      </c>
      <c r="Q453" s="10" t="str">
        <f aca="false">IF(AND(P453&lt;&gt;"",H453&lt;&gt;0,K453&lt;&gt;0),P453/(H453*K453),"")</f>
        <v/>
      </c>
      <c r="R453" s="11" t="str">
        <f aca="false">IF(AND(N453&lt;&gt;"",H453&lt;&gt;I453),IF(E453="Buy",(N453-H453)/(H453-I453),(H453-N453)/(I453-H453)),"")</f>
        <v/>
      </c>
      <c r="S453" s="7" t="str">
        <f aca="false">IF(D453="","",IF(N453&lt;&gt;"","Closed","Open"))</f>
        <v/>
      </c>
      <c r="T453" s="7"/>
    </row>
    <row r="454" customFormat="false" ht="15" hidden="false" customHeight="false" outlineLevel="0" collapsed="false">
      <c r="A454" s="7"/>
      <c r="B454" s="7"/>
      <c r="C454" s="7"/>
      <c r="D454" s="7"/>
      <c r="E454" s="7"/>
      <c r="F454" s="7"/>
      <c r="G454" s="8"/>
      <c r="H454" s="9"/>
      <c r="I454" s="9"/>
      <c r="J454" s="9"/>
      <c r="K454" s="7"/>
      <c r="L454" s="7"/>
      <c r="M454" s="9" t="str">
        <f aca="false">IF(AND(H454&lt;&gt;"",I454&lt;&gt;"",K454&lt;&gt;""),ABS(H454-I454)*K454,"")</f>
        <v/>
      </c>
      <c r="N454" s="9"/>
      <c r="O454" s="7"/>
      <c r="P454" s="9" t="str">
        <f aca="false">IF(N454&lt;&gt;"",(N454-H454)*K454*IF(E454="Buy",1,-1),"")</f>
        <v/>
      </c>
      <c r="Q454" s="10" t="str">
        <f aca="false">IF(AND(P454&lt;&gt;"",H454&lt;&gt;0,K454&lt;&gt;0),P454/(H454*K454),"")</f>
        <v/>
      </c>
      <c r="R454" s="11" t="str">
        <f aca="false">IF(AND(N454&lt;&gt;"",H454&lt;&gt;I454),IF(E454="Buy",(N454-H454)/(H454-I454),(H454-N454)/(I454-H454)),"")</f>
        <v/>
      </c>
      <c r="S454" s="7" t="str">
        <f aca="false">IF(D454="","",IF(N454&lt;&gt;"","Closed","Open"))</f>
        <v/>
      </c>
      <c r="T454" s="7"/>
    </row>
    <row r="455" customFormat="false" ht="15" hidden="false" customHeight="false" outlineLevel="0" collapsed="false">
      <c r="A455" s="7"/>
      <c r="B455" s="7"/>
      <c r="C455" s="7"/>
      <c r="D455" s="7"/>
      <c r="E455" s="7"/>
      <c r="F455" s="7"/>
      <c r="G455" s="8"/>
      <c r="H455" s="9"/>
      <c r="I455" s="9"/>
      <c r="J455" s="9"/>
      <c r="K455" s="7"/>
      <c r="L455" s="7"/>
      <c r="M455" s="9" t="str">
        <f aca="false">IF(AND(H455&lt;&gt;"",I455&lt;&gt;"",K455&lt;&gt;""),ABS(H455-I455)*K455,"")</f>
        <v/>
      </c>
      <c r="N455" s="9"/>
      <c r="O455" s="7"/>
      <c r="P455" s="9" t="str">
        <f aca="false">IF(N455&lt;&gt;"",(N455-H455)*K455*IF(E455="Buy",1,-1),"")</f>
        <v/>
      </c>
      <c r="Q455" s="10" t="str">
        <f aca="false">IF(AND(P455&lt;&gt;"",H455&lt;&gt;0,K455&lt;&gt;0),P455/(H455*K455),"")</f>
        <v/>
      </c>
      <c r="R455" s="11" t="str">
        <f aca="false">IF(AND(N455&lt;&gt;"",H455&lt;&gt;I455),IF(E455="Buy",(N455-H455)/(H455-I455),(H455-N455)/(I455-H455)),"")</f>
        <v/>
      </c>
      <c r="S455" s="7" t="str">
        <f aca="false">IF(D455="","",IF(N455&lt;&gt;"","Closed","Open"))</f>
        <v/>
      </c>
      <c r="T455" s="7"/>
    </row>
    <row r="456" customFormat="false" ht="15" hidden="false" customHeight="false" outlineLevel="0" collapsed="false">
      <c r="A456" s="7"/>
      <c r="B456" s="7"/>
      <c r="C456" s="7"/>
      <c r="D456" s="7"/>
      <c r="E456" s="7"/>
      <c r="F456" s="7"/>
      <c r="G456" s="8"/>
      <c r="H456" s="9"/>
      <c r="I456" s="9"/>
      <c r="J456" s="9"/>
      <c r="K456" s="7"/>
      <c r="L456" s="7"/>
      <c r="M456" s="9" t="str">
        <f aca="false">IF(AND(H456&lt;&gt;"",I456&lt;&gt;"",K456&lt;&gt;""),ABS(H456-I456)*K456,"")</f>
        <v/>
      </c>
      <c r="N456" s="9"/>
      <c r="O456" s="7"/>
      <c r="P456" s="9" t="str">
        <f aca="false">IF(N456&lt;&gt;"",(N456-H456)*K456*IF(E456="Buy",1,-1),"")</f>
        <v/>
      </c>
      <c r="Q456" s="10" t="str">
        <f aca="false">IF(AND(P456&lt;&gt;"",H456&lt;&gt;0,K456&lt;&gt;0),P456/(H456*K456),"")</f>
        <v/>
      </c>
      <c r="R456" s="11" t="str">
        <f aca="false">IF(AND(N456&lt;&gt;"",H456&lt;&gt;I456),IF(E456="Buy",(N456-H456)/(H456-I456),(H456-N456)/(I456-H456)),"")</f>
        <v/>
      </c>
      <c r="S456" s="7" t="str">
        <f aca="false">IF(D456="","",IF(N456&lt;&gt;"","Closed","Open"))</f>
        <v/>
      </c>
      <c r="T456" s="7"/>
    </row>
    <row r="457" customFormat="false" ht="15" hidden="false" customHeight="false" outlineLevel="0" collapsed="false">
      <c r="A457" s="7"/>
      <c r="B457" s="7"/>
      <c r="C457" s="7"/>
      <c r="D457" s="7"/>
      <c r="E457" s="7"/>
      <c r="F457" s="7"/>
      <c r="G457" s="8"/>
      <c r="H457" s="9"/>
      <c r="I457" s="9"/>
      <c r="J457" s="9"/>
      <c r="K457" s="7"/>
      <c r="L457" s="7"/>
      <c r="M457" s="9" t="str">
        <f aca="false">IF(AND(H457&lt;&gt;"",I457&lt;&gt;"",K457&lt;&gt;""),ABS(H457-I457)*K457,"")</f>
        <v/>
      </c>
      <c r="N457" s="9"/>
      <c r="O457" s="7"/>
      <c r="P457" s="9" t="str">
        <f aca="false">IF(N457&lt;&gt;"",(N457-H457)*K457*IF(E457="Buy",1,-1),"")</f>
        <v/>
      </c>
      <c r="Q457" s="10" t="str">
        <f aca="false">IF(AND(P457&lt;&gt;"",H457&lt;&gt;0,K457&lt;&gt;0),P457/(H457*K457),"")</f>
        <v/>
      </c>
      <c r="R457" s="11" t="str">
        <f aca="false">IF(AND(N457&lt;&gt;"",H457&lt;&gt;I457),IF(E457="Buy",(N457-H457)/(H457-I457),(H457-N457)/(I457-H457)),"")</f>
        <v/>
      </c>
      <c r="S457" s="7" t="str">
        <f aca="false">IF(D457="","",IF(N457&lt;&gt;"","Closed","Open"))</f>
        <v/>
      </c>
      <c r="T457" s="7"/>
    </row>
    <row r="458" customFormat="false" ht="15" hidden="false" customHeight="false" outlineLevel="0" collapsed="false">
      <c r="A458" s="7"/>
      <c r="B458" s="7"/>
      <c r="C458" s="7"/>
      <c r="D458" s="7"/>
      <c r="E458" s="7"/>
      <c r="F458" s="7"/>
      <c r="G458" s="8"/>
      <c r="H458" s="9"/>
      <c r="I458" s="9"/>
      <c r="J458" s="9"/>
      <c r="K458" s="7"/>
      <c r="L458" s="7"/>
      <c r="M458" s="9" t="str">
        <f aca="false">IF(AND(H458&lt;&gt;"",I458&lt;&gt;"",K458&lt;&gt;""),ABS(H458-I458)*K458,"")</f>
        <v/>
      </c>
      <c r="N458" s="9"/>
      <c r="O458" s="7"/>
      <c r="P458" s="9" t="str">
        <f aca="false">IF(N458&lt;&gt;"",(N458-H458)*K458*IF(E458="Buy",1,-1),"")</f>
        <v/>
      </c>
      <c r="Q458" s="10" t="str">
        <f aca="false">IF(AND(P458&lt;&gt;"",H458&lt;&gt;0,K458&lt;&gt;0),P458/(H458*K458),"")</f>
        <v/>
      </c>
      <c r="R458" s="11" t="str">
        <f aca="false">IF(AND(N458&lt;&gt;"",H458&lt;&gt;I458),IF(E458="Buy",(N458-H458)/(H458-I458),(H458-N458)/(I458-H458)),"")</f>
        <v/>
      </c>
      <c r="S458" s="7" t="str">
        <f aca="false">IF(D458="","",IF(N458&lt;&gt;"","Closed","Open"))</f>
        <v/>
      </c>
      <c r="T458" s="7"/>
    </row>
    <row r="459" customFormat="false" ht="15" hidden="false" customHeight="false" outlineLevel="0" collapsed="false">
      <c r="A459" s="7"/>
      <c r="B459" s="7"/>
      <c r="C459" s="7"/>
      <c r="D459" s="7"/>
      <c r="E459" s="7"/>
      <c r="F459" s="7"/>
      <c r="G459" s="8"/>
      <c r="H459" s="9"/>
      <c r="I459" s="9"/>
      <c r="J459" s="9"/>
      <c r="K459" s="7"/>
      <c r="L459" s="7"/>
      <c r="M459" s="9" t="str">
        <f aca="false">IF(AND(H459&lt;&gt;"",I459&lt;&gt;"",K459&lt;&gt;""),ABS(H459-I459)*K459,"")</f>
        <v/>
      </c>
      <c r="N459" s="9"/>
      <c r="O459" s="7"/>
      <c r="P459" s="9" t="str">
        <f aca="false">IF(N459&lt;&gt;"",(N459-H459)*K459*IF(E459="Buy",1,-1),"")</f>
        <v/>
      </c>
      <c r="Q459" s="10" t="str">
        <f aca="false">IF(AND(P459&lt;&gt;"",H459&lt;&gt;0,K459&lt;&gt;0),P459/(H459*K459),"")</f>
        <v/>
      </c>
      <c r="R459" s="11" t="str">
        <f aca="false">IF(AND(N459&lt;&gt;"",H459&lt;&gt;I459),IF(E459="Buy",(N459-H459)/(H459-I459),(H459-N459)/(I459-H459)),"")</f>
        <v/>
      </c>
      <c r="S459" s="7" t="str">
        <f aca="false">IF(D459="","",IF(N459&lt;&gt;"","Closed","Open"))</f>
        <v/>
      </c>
      <c r="T459" s="7"/>
    </row>
    <row r="460" customFormat="false" ht="15" hidden="false" customHeight="false" outlineLevel="0" collapsed="false">
      <c r="A460" s="7"/>
      <c r="B460" s="7"/>
      <c r="C460" s="7"/>
      <c r="D460" s="7"/>
      <c r="E460" s="7"/>
      <c r="F460" s="7"/>
      <c r="G460" s="8"/>
      <c r="H460" s="9"/>
      <c r="I460" s="9"/>
      <c r="J460" s="9"/>
      <c r="K460" s="7"/>
      <c r="L460" s="7"/>
      <c r="M460" s="9" t="str">
        <f aca="false">IF(AND(H460&lt;&gt;"",I460&lt;&gt;"",K460&lt;&gt;""),ABS(H460-I460)*K460,"")</f>
        <v/>
      </c>
      <c r="N460" s="9"/>
      <c r="O460" s="7"/>
      <c r="P460" s="9" t="str">
        <f aca="false">IF(N460&lt;&gt;"",(N460-H460)*K460*IF(E460="Buy",1,-1),"")</f>
        <v/>
      </c>
      <c r="Q460" s="10" t="str">
        <f aca="false">IF(AND(P460&lt;&gt;"",H460&lt;&gt;0,K460&lt;&gt;0),P460/(H460*K460),"")</f>
        <v/>
      </c>
      <c r="R460" s="11" t="str">
        <f aca="false">IF(AND(N460&lt;&gt;"",H460&lt;&gt;I460),IF(E460="Buy",(N460-H460)/(H460-I460),(H460-N460)/(I460-H460)),"")</f>
        <v/>
      </c>
      <c r="S460" s="7" t="str">
        <f aca="false">IF(D460="","",IF(N460&lt;&gt;"","Closed","Open"))</f>
        <v/>
      </c>
      <c r="T460" s="7"/>
    </row>
    <row r="461" customFormat="false" ht="15" hidden="false" customHeight="false" outlineLevel="0" collapsed="false">
      <c r="A461" s="7"/>
      <c r="B461" s="7"/>
      <c r="C461" s="7"/>
      <c r="D461" s="7"/>
      <c r="E461" s="7"/>
      <c r="F461" s="7"/>
      <c r="G461" s="8"/>
      <c r="H461" s="9"/>
      <c r="I461" s="9"/>
      <c r="J461" s="9"/>
      <c r="K461" s="7"/>
      <c r="L461" s="7"/>
      <c r="M461" s="9" t="str">
        <f aca="false">IF(AND(H461&lt;&gt;"",I461&lt;&gt;"",K461&lt;&gt;""),ABS(H461-I461)*K461,"")</f>
        <v/>
      </c>
      <c r="N461" s="9"/>
      <c r="O461" s="7"/>
      <c r="P461" s="9" t="str">
        <f aca="false">IF(N461&lt;&gt;"",(N461-H461)*K461*IF(E461="Buy",1,-1),"")</f>
        <v/>
      </c>
      <c r="Q461" s="10" t="str">
        <f aca="false">IF(AND(P461&lt;&gt;"",H461&lt;&gt;0,K461&lt;&gt;0),P461/(H461*K461),"")</f>
        <v/>
      </c>
      <c r="R461" s="11" t="str">
        <f aca="false">IF(AND(N461&lt;&gt;"",H461&lt;&gt;I461),IF(E461="Buy",(N461-H461)/(H461-I461),(H461-N461)/(I461-H461)),"")</f>
        <v/>
      </c>
      <c r="S461" s="7" t="str">
        <f aca="false">IF(D461="","",IF(N461&lt;&gt;"","Closed","Open"))</f>
        <v/>
      </c>
      <c r="T461" s="7"/>
    </row>
    <row r="462" customFormat="false" ht="15" hidden="false" customHeight="false" outlineLevel="0" collapsed="false">
      <c r="A462" s="7"/>
      <c r="B462" s="7"/>
      <c r="C462" s="7"/>
      <c r="D462" s="7"/>
      <c r="E462" s="7"/>
      <c r="F462" s="7"/>
      <c r="G462" s="8"/>
      <c r="H462" s="9"/>
      <c r="I462" s="9"/>
      <c r="J462" s="9"/>
      <c r="K462" s="7"/>
      <c r="L462" s="7"/>
      <c r="M462" s="9" t="str">
        <f aca="false">IF(AND(H462&lt;&gt;"",I462&lt;&gt;"",K462&lt;&gt;""),ABS(H462-I462)*K462,"")</f>
        <v/>
      </c>
      <c r="N462" s="9"/>
      <c r="O462" s="7"/>
      <c r="P462" s="9" t="str">
        <f aca="false">IF(N462&lt;&gt;"",(N462-H462)*K462*IF(E462="Buy",1,-1),"")</f>
        <v/>
      </c>
      <c r="Q462" s="10" t="str">
        <f aca="false">IF(AND(P462&lt;&gt;"",H462&lt;&gt;0,K462&lt;&gt;0),P462/(H462*K462),"")</f>
        <v/>
      </c>
      <c r="R462" s="11" t="str">
        <f aca="false">IF(AND(N462&lt;&gt;"",H462&lt;&gt;I462),IF(E462="Buy",(N462-H462)/(H462-I462),(H462-N462)/(I462-H462)),"")</f>
        <v/>
      </c>
      <c r="S462" s="7" t="str">
        <f aca="false">IF(D462="","",IF(N462&lt;&gt;"","Closed","Open"))</f>
        <v/>
      </c>
      <c r="T462" s="7"/>
    </row>
    <row r="463" customFormat="false" ht="15" hidden="false" customHeight="false" outlineLevel="0" collapsed="false">
      <c r="A463" s="7"/>
      <c r="B463" s="7"/>
      <c r="C463" s="7"/>
      <c r="D463" s="7"/>
      <c r="E463" s="7"/>
      <c r="F463" s="7"/>
      <c r="G463" s="8"/>
      <c r="H463" s="9"/>
      <c r="I463" s="9"/>
      <c r="J463" s="9"/>
      <c r="K463" s="7"/>
      <c r="L463" s="7"/>
      <c r="M463" s="9" t="str">
        <f aca="false">IF(AND(H463&lt;&gt;"",I463&lt;&gt;"",K463&lt;&gt;""),ABS(H463-I463)*K463,"")</f>
        <v/>
      </c>
      <c r="N463" s="9"/>
      <c r="O463" s="7"/>
      <c r="P463" s="9" t="str">
        <f aca="false">IF(N463&lt;&gt;"",(N463-H463)*K463*IF(E463="Buy",1,-1),"")</f>
        <v/>
      </c>
      <c r="Q463" s="10" t="str">
        <f aca="false">IF(AND(P463&lt;&gt;"",H463&lt;&gt;0,K463&lt;&gt;0),P463/(H463*K463),"")</f>
        <v/>
      </c>
      <c r="R463" s="11" t="str">
        <f aca="false">IF(AND(N463&lt;&gt;"",H463&lt;&gt;I463),IF(E463="Buy",(N463-H463)/(H463-I463),(H463-N463)/(I463-H463)),"")</f>
        <v/>
      </c>
      <c r="S463" s="7" t="str">
        <f aca="false">IF(D463="","",IF(N463&lt;&gt;"","Closed","Open"))</f>
        <v/>
      </c>
      <c r="T463" s="7"/>
    </row>
    <row r="464" customFormat="false" ht="15" hidden="false" customHeight="false" outlineLevel="0" collapsed="false">
      <c r="A464" s="7"/>
      <c r="B464" s="7"/>
      <c r="C464" s="7"/>
      <c r="D464" s="7"/>
      <c r="E464" s="7"/>
      <c r="F464" s="7"/>
      <c r="G464" s="8"/>
      <c r="H464" s="9"/>
      <c r="I464" s="9"/>
      <c r="J464" s="9"/>
      <c r="K464" s="7"/>
      <c r="L464" s="7"/>
      <c r="M464" s="9" t="str">
        <f aca="false">IF(AND(H464&lt;&gt;"",I464&lt;&gt;"",K464&lt;&gt;""),ABS(H464-I464)*K464,"")</f>
        <v/>
      </c>
      <c r="N464" s="9"/>
      <c r="O464" s="7"/>
      <c r="P464" s="9" t="str">
        <f aca="false">IF(N464&lt;&gt;"",(N464-H464)*K464*IF(E464="Buy",1,-1),"")</f>
        <v/>
      </c>
      <c r="Q464" s="10" t="str">
        <f aca="false">IF(AND(P464&lt;&gt;"",H464&lt;&gt;0,K464&lt;&gt;0),P464/(H464*K464),"")</f>
        <v/>
      </c>
      <c r="R464" s="11" t="str">
        <f aca="false">IF(AND(N464&lt;&gt;"",H464&lt;&gt;I464),IF(E464="Buy",(N464-H464)/(H464-I464),(H464-N464)/(I464-H464)),"")</f>
        <v/>
      </c>
      <c r="S464" s="7" t="str">
        <f aca="false">IF(D464="","",IF(N464&lt;&gt;"","Closed","Open"))</f>
        <v/>
      </c>
      <c r="T464" s="7"/>
    </row>
    <row r="465" customFormat="false" ht="15" hidden="false" customHeight="false" outlineLevel="0" collapsed="false">
      <c r="A465" s="7"/>
      <c r="B465" s="7"/>
      <c r="C465" s="7"/>
      <c r="D465" s="7"/>
      <c r="E465" s="7"/>
      <c r="F465" s="7"/>
      <c r="G465" s="8"/>
      <c r="H465" s="9"/>
      <c r="I465" s="9"/>
      <c r="J465" s="9"/>
      <c r="K465" s="7"/>
      <c r="L465" s="7"/>
      <c r="M465" s="9" t="str">
        <f aca="false">IF(AND(H465&lt;&gt;"",I465&lt;&gt;"",K465&lt;&gt;""),ABS(H465-I465)*K465,"")</f>
        <v/>
      </c>
      <c r="N465" s="9"/>
      <c r="O465" s="7"/>
      <c r="P465" s="9" t="str">
        <f aca="false">IF(N465&lt;&gt;"",(N465-H465)*K465*IF(E465="Buy",1,-1),"")</f>
        <v/>
      </c>
      <c r="Q465" s="10" t="str">
        <f aca="false">IF(AND(P465&lt;&gt;"",H465&lt;&gt;0,K465&lt;&gt;0),P465/(H465*K465),"")</f>
        <v/>
      </c>
      <c r="R465" s="11" t="str">
        <f aca="false">IF(AND(N465&lt;&gt;"",H465&lt;&gt;I465),IF(E465="Buy",(N465-H465)/(H465-I465),(H465-N465)/(I465-H465)),"")</f>
        <v/>
      </c>
      <c r="S465" s="7" t="str">
        <f aca="false">IF(D465="","",IF(N465&lt;&gt;"","Closed","Open"))</f>
        <v/>
      </c>
      <c r="T465" s="7"/>
    </row>
    <row r="466" customFormat="false" ht="15" hidden="false" customHeight="false" outlineLevel="0" collapsed="false">
      <c r="A466" s="7"/>
      <c r="B466" s="7"/>
      <c r="C466" s="7"/>
      <c r="D466" s="7"/>
      <c r="E466" s="7"/>
      <c r="F466" s="7"/>
      <c r="G466" s="8"/>
      <c r="H466" s="9"/>
      <c r="I466" s="9"/>
      <c r="J466" s="9"/>
      <c r="K466" s="7"/>
      <c r="L466" s="7"/>
      <c r="M466" s="9" t="str">
        <f aca="false">IF(AND(H466&lt;&gt;"",I466&lt;&gt;"",K466&lt;&gt;""),ABS(H466-I466)*K466,"")</f>
        <v/>
      </c>
      <c r="N466" s="9"/>
      <c r="O466" s="7"/>
      <c r="P466" s="9" t="str">
        <f aca="false">IF(N466&lt;&gt;"",(N466-H466)*K466*IF(E466="Buy",1,-1),"")</f>
        <v/>
      </c>
      <c r="Q466" s="10" t="str">
        <f aca="false">IF(AND(P466&lt;&gt;"",H466&lt;&gt;0,K466&lt;&gt;0),P466/(H466*K466),"")</f>
        <v/>
      </c>
      <c r="R466" s="11" t="str">
        <f aca="false">IF(AND(N466&lt;&gt;"",H466&lt;&gt;I466),IF(E466="Buy",(N466-H466)/(H466-I466),(H466-N466)/(I466-H466)),"")</f>
        <v/>
      </c>
      <c r="S466" s="7" t="str">
        <f aca="false">IF(D466="","",IF(N466&lt;&gt;"","Closed","Open"))</f>
        <v/>
      </c>
      <c r="T466" s="7"/>
    </row>
    <row r="467" customFormat="false" ht="15" hidden="false" customHeight="false" outlineLevel="0" collapsed="false">
      <c r="A467" s="7"/>
      <c r="B467" s="7"/>
      <c r="C467" s="7"/>
      <c r="D467" s="7"/>
      <c r="E467" s="7"/>
      <c r="F467" s="7"/>
      <c r="G467" s="8"/>
      <c r="H467" s="9"/>
      <c r="I467" s="9"/>
      <c r="J467" s="9"/>
      <c r="K467" s="7"/>
      <c r="L467" s="7"/>
      <c r="M467" s="9" t="str">
        <f aca="false">IF(AND(H467&lt;&gt;"",I467&lt;&gt;"",K467&lt;&gt;""),ABS(H467-I467)*K467,"")</f>
        <v/>
      </c>
      <c r="N467" s="9"/>
      <c r="O467" s="7"/>
      <c r="P467" s="9" t="str">
        <f aca="false">IF(N467&lt;&gt;"",(N467-H467)*K467*IF(E467="Buy",1,-1),"")</f>
        <v/>
      </c>
      <c r="Q467" s="10" t="str">
        <f aca="false">IF(AND(P467&lt;&gt;"",H467&lt;&gt;0,K467&lt;&gt;0),P467/(H467*K467),"")</f>
        <v/>
      </c>
      <c r="R467" s="11" t="str">
        <f aca="false">IF(AND(N467&lt;&gt;"",H467&lt;&gt;I467),IF(E467="Buy",(N467-H467)/(H467-I467),(H467-N467)/(I467-H467)),"")</f>
        <v/>
      </c>
      <c r="S467" s="7" t="str">
        <f aca="false">IF(D467="","",IF(N467&lt;&gt;"","Closed","Open"))</f>
        <v/>
      </c>
      <c r="T467" s="7"/>
    </row>
    <row r="468" customFormat="false" ht="15" hidden="false" customHeight="false" outlineLevel="0" collapsed="false">
      <c r="A468" s="7"/>
      <c r="B468" s="7"/>
      <c r="C468" s="7"/>
      <c r="D468" s="7"/>
      <c r="E468" s="7"/>
      <c r="F468" s="7"/>
      <c r="G468" s="8"/>
      <c r="H468" s="9"/>
      <c r="I468" s="9"/>
      <c r="J468" s="9"/>
      <c r="K468" s="7"/>
      <c r="L468" s="7"/>
      <c r="M468" s="9" t="str">
        <f aca="false">IF(AND(H468&lt;&gt;"",I468&lt;&gt;"",K468&lt;&gt;""),ABS(H468-I468)*K468,"")</f>
        <v/>
      </c>
      <c r="N468" s="9"/>
      <c r="O468" s="7"/>
      <c r="P468" s="9" t="str">
        <f aca="false">IF(N468&lt;&gt;"",(N468-H468)*K468*IF(E468="Buy",1,-1),"")</f>
        <v/>
      </c>
      <c r="Q468" s="10" t="str">
        <f aca="false">IF(AND(P468&lt;&gt;"",H468&lt;&gt;0,K468&lt;&gt;0),P468/(H468*K468),"")</f>
        <v/>
      </c>
      <c r="R468" s="11" t="str">
        <f aca="false">IF(AND(N468&lt;&gt;"",H468&lt;&gt;I468),IF(E468="Buy",(N468-H468)/(H468-I468),(H468-N468)/(I468-H468)),"")</f>
        <v/>
      </c>
      <c r="S468" s="7" t="str">
        <f aca="false">IF(D468="","",IF(N468&lt;&gt;"","Closed","Open"))</f>
        <v/>
      </c>
      <c r="T468" s="7"/>
    </row>
    <row r="469" customFormat="false" ht="15" hidden="false" customHeight="false" outlineLevel="0" collapsed="false">
      <c r="A469" s="7"/>
      <c r="B469" s="7"/>
      <c r="C469" s="7"/>
      <c r="D469" s="7"/>
      <c r="E469" s="7"/>
      <c r="F469" s="7"/>
      <c r="G469" s="8"/>
      <c r="H469" s="9"/>
      <c r="I469" s="9"/>
      <c r="J469" s="9"/>
      <c r="K469" s="7"/>
      <c r="L469" s="7"/>
      <c r="M469" s="9" t="str">
        <f aca="false">IF(AND(H469&lt;&gt;"",I469&lt;&gt;"",K469&lt;&gt;""),ABS(H469-I469)*K469,"")</f>
        <v/>
      </c>
      <c r="N469" s="9"/>
      <c r="O469" s="7"/>
      <c r="P469" s="9" t="str">
        <f aca="false">IF(N469&lt;&gt;"",(N469-H469)*K469*IF(E469="Buy",1,-1),"")</f>
        <v/>
      </c>
      <c r="Q469" s="10" t="str">
        <f aca="false">IF(AND(P469&lt;&gt;"",H469&lt;&gt;0,K469&lt;&gt;0),P469/(H469*K469),"")</f>
        <v/>
      </c>
      <c r="R469" s="11" t="str">
        <f aca="false">IF(AND(N469&lt;&gt;"",H469&lt;&gt;I469),IF(E469="Buy",(N469-H469)/(H469-I469),(H469-N469)/(I469-H469)),"")</f>
        <v/>
      </c>
      <c r="S469" s="7" t="str">
        <f aca="false">IF(D469="","",IF(N469&lt;&gt;"","Closed","Open"))</f>
        <v/>
      </c>
      <c r="T469" s="7"/>
    </row>
    <row r="470" customFormat="false" ht="15" hidden="false" customHeight="false" outlineLevel="0" collapsed="false">
      <c r="A470" s="7"/>
      <c r="B470" s="7"/>
      <c r="C470" s="7"/>
      <c r="D470" s="7"/>
      <c r="E470" s="7"/>
      <c r="F470" s="7"/>
      <c r="G470" s="8"/>
      <c r="H470" s="9"/>
      <c r="I470" s="9"/>
      <c r="J470" s="9"/>
      <c r="K470" s="7"/>
      <c r="L470" s="7"/>
      <c r="M470" s="9" t="str">
        <f aca="false">IF(AND(H470&lt;&gt;"",I470&lt;&gt;"",K470&lt;&gt;""),ABS(H470-I470)*K470,"")</f>
        <v/>
      </c>
      <c r="N470" s="9"/>
      <c r="O470" s="7"/>
      <c r="P470" s="9" t="str">
        <f aca="false">IF(N470&lt;&gt;"",(N470-H470)*K470*IF(E470="Buy",1,-1),"")</f>
        <v/>
      </c>
      <c r="Q470" s="10" t="str">
        <f aca="false">IF(AND(P470&lt;&gt;"",H470&lt;&gt;0,K470&lt;&gt;0),P470/(H470*K470),"")</f>
        <v/>
      </c>
      <c r="R470" s="11" t="str">
        <f aca="false">IF(AND(N470&lt;&gt;"",H470&lt;&gt;I470),IF(E470="Buy",(N470-H470)/(H470-I470),(H470-N470)/(I470-H470)),"")</f>
        <v/>
      </c>
      <c r="S470" s="7" t="str">
        <f aca="false">IF(D470="","",IF(N470&lt;&gt;"","Closed","Open"))</f>
        <v/>
      </c>
      <c r="T470" s="7"/>
    </row>
    <row r="471" customFormat="false" ht="15" hidden="false" customHeight="false" outlineLevel="0" collapsed="false">
      <c r="A471" s="7"/>
      <c r="B471" s="7"/>
      <c r="C471" s="7"/>
      <c r="D471" s="7"/>
      <c r="E471" s="7"/>
      <c r="F471" s="7"/>
      <c r="G471" s="8"/>
      <c r="H471" s="9"/>
      <c r="I471" s="9"/>
      <c r="J471" s="9"/>
      <c r="K471" s="7"/>
      <c r="L471" s="7"/>
      <c r="M471" s="9" t="str">
        <f aca="false">IF(AND(H471&lt;&gt;"",I471&lt;&gt;"",K471&lt;&gt;""),ABS(H471-I471)*K471,"")</f>
        <v/>
      </c>
      <c r="N471" s="9"/>
      <c r="O471" s="7"/>
      <c r="P471" s="9" t="str">
        <f aca="false">IF(N471&lt;&gt;"",(N471-H471)*K471*IF(E471="Buy",1,-1),"")</f>
        <v/>
      </c>
      <c r="Q471" s="10" t="str">
        <f aca="false">IF(AND(P471&lt;&gt;"",H471&lt;&gt;0,K471&lt;&gt;0),P471/(H471*K471),"")</f>
        <v/>
      </c>
      <c r="R471" s="11" t="str">
        <f aca="false">IF(AND(N471&lt;&gt;"",H471&lt;&gt;I471),IF(E471="Buy",(N471-H471)/(H471-I471),(H471-N471)/(I471-H471)),"")</f>
        <v/>
      </c>
      <c r="S471" s="7" t="str">
        <f aca="false">IF(D471="","",IF(N471&lt;&gt;"","Closed","Open"))</f>
        <v/>
      </c>
      <c r="T471" s="7"/>
    </row>
    <row r="472" customFormat="false" ht="15" hidden="false" customHeight="false" outlineLevel="0" collapsed="false">
      <c r="A472" s="7"/>
      <c r="B472" s="7"/>
      <c r="C472" s="7"/>
      <c r="D472" s="7"/>
      <c r="E472" s="7"/>
      <c r="F472" s="7"/>
      <c r="G472" s="8"/>
      <c r="H472" s="9"/>
      <c r="I472" s="9"/>
      <c r="J472" s="9"/>
      <c r="K472" s="7"/>
      <c r="L472" s="7"/>
      <c r="M472" s="9" t="str">
        <f aca="false">IF(AND(H472&lt;&gt;"",I472&lt;&gt;"",K472&lt;&gt;""),ABS(H472-I472)*K472,"")</f>
        <v/>
      </c>
      <c r="N472" s="9"/>
      <c r="O472" s="7"/>
      <c r="P472" s="9" t="str">
        <f aca="false">IF(N472&lt;&gt;"",(N472-H472)*K472*IF(E472="Buy",1,-1),"")</f>
        <v/>
      </c>
      <c r="Q472" s="10" t="str">
        <f aca="false">IF(AND(P472&lt;&gt;"",H472&lt;&gt;0,K472&lt;&gt;0),P472/(H472*K472),"")</f>
        <v/>
      </c>
      <c r="R472" s="11" t="str">
        <f aca="false">IF(AND(N472&lt;&gt;"",H472&lt;&gt;I472),IF(E472="Buy",(N472-H472)/(H472-I472),(H472-N472)/(I472-H472)),"")</f>
        <v/>
      </c>
      <c r="S472" s="7" t="str">
        <f aca="false">IF(D472="","",IF(N472&lt;&gt;"","Closed","Open"))</f>
        <v/>
      </c>
      <c r="T472" s="7"/>
    </row>
    <row r="473" customFormat="false" ht="15" hidden="false" customHeight="false" outlineLevel="0" collapsed="false">
      <c r="A473" s="7"/>
      <c r="B473" s="7"/>
      <c r="C473" s="7"/>
      <c r="D473" s="7"/>
      <c r="E473" s="7"/>
      <c r="F473" s="7"/>
      <c r="G473" s="8"/>
      <c r="H473" s="9"/>
      <c r="I473" s="9"/>
      <c r="J473" s="9"/>
      <c r="K473" s="7"/>
      <c r="L473" s="7"/>
      <c r="M473" s="9" t="str">
        <f aca="false">IF(AND(H473&lt;&gt;"",I473&lt;&gt;"",K473&lt;&gt;""),ABS(H473-I473)*K473,"")</f>
        <v/>
      </c>
      <c r="N473" s="9"/>
      <c r="O473" s="7"/>
      <c r="P473" s="9" t="str">
        <f aca="false">IF(N473&lt;&gt;"",(N473-H473)*K473*IF(E473="Buy",1,-1),"")</f>
        <v/>
      </c>
      <c r="Q473" s="10" t="str">
        <f aca="false">IF(AND(P473&lt;&gt;"",H473&lt;&gt;0,K473&lt;&gt;0),P473/(H473*K473),"")</f>
        <v/>
      </c>
      <c r="R473" s="11" t="str">
        <f aca="false">IF(AND(N473&lt;&gt;"",H473&lt;&gt;I473),IF(E473="Buy",(N473-H473)/(H473-I473),(H473-N473)/(I473-H473)),"")</f>
        <v/>
      </c>
      <c r="S473" s="7" t="str">
        <f aca="false">IF(D473="","",IF(N473&lt;&gt;"","Closed","Open"))</f>
        <v/>
      </c>
      <c r="T473" s="7"/>
    </row>
    <row r="474" customFormat="false" ht="15" hidden="false" customHeight="false" outlineLevel="0" collapsed="false">
      <c r="A474" s="7"/>
      <c r="B474" s="7"/>
      <c r="C474" s="7"/>
      <c r="D474" s="7"/>
      <c r="E474" s="7"/>
      <c r="F474" s="7"/>
      <c r="G474" s="8"/>
      <c r="H474" s="9"/>
      <c r="I474" s="9"/>
      <c r="J474" s="9"/>
      <c r="K474" s="7"/>
      <c r="L474" s="7"/>
      <c r="M474" s="9" t="str">
        <f aca="false">IF(AND(H474&lt;&gt;"",I474&lt;&gt;"",K474&lt;&gt;""),ABS(H474-I474)*K474,"")</f>
        <v/>
      </c>
      <c r="N474" s="9"/>
      <c r="O474" s="7"/>
      <c r="P474" s="9" t="str">
        <f aca="false">IF(N474&lt;&gt;"",(N474-H474)*K474*IF(E474="Buy",1,-1),"")</f>
        <v/>
      </c>
      <c r="Q474" s="10" t="str">
        <f aca="false">IF(AND(P474&lt;&gt;"",H474&lt;&gt;0,K474&lt;&gt;0),P474/(H474*K474),"")</f>
        <v/>
      </c>
      <c r="R474" s="11" t="str">
        <f aca="false">IF(AND(N474&lt;&gt;"",H474&lt;&gt;I474),IF(E474="Buy",(N474-H474)/(H474-I474),(H474-N474)/(I474-H474)),"")</f>
        <v/>
      </c>
      <c r="S474" s="7" t="str">
        <f aca="false">IF(D474="","",IF(N474&lt;&gt;"","Closed","Open"))</f>
        <v/>
      </c>
      <c r="T474" s="7"/>
    </row>
    <row r="475" customFormat="false" ht="15" hidden="false" customHeight="false" outlineLevel="0" collapsed="false">
      <c r="A475" s="7"/>
      <c r="B475" s="7"/>
      <c r="C475" s="7"/>
      <c r="D475" s="7"/>
      <c r="E475" s="7"/>
      <c r="F475" s="7"/>
      <c r="G475" s="8"/>
      <c r="H475" s="9"/>
      <c r="I475" s="9"/>
      <c r="J475" s="9"/>
      <c r="K475" s="7"/>
      <c r="L475" s="7"/>
      <c r="M475" s="9" t="str">
        <f aca="false">IF(AND(H475&lt;&gt;"",I475&lt;&gt;"",K475&lt;&gt;""),ABS(H475-I475)*K475,"")</f>
        <v/>
      </c>
      <c r="N475" s="9"/>
      <c r="O475" s="7"/>
      <c r="P475" s="9" t="str">
        <f aca="false">IF(N475&lt;&gt;"",(N475-H475)*K475*IF(E475="Buy",1,-1),"")</f>
        <v/>
      </c>
      <c r="Q475" s="10" t="str">
        <f aca="false">IF(AND(P475&lt;&gt;"",H475&lt;&gt;0,K475&lt;&gt;0),P475/(H475*K475),"")</f>
        <v/>
      </c>
      <c r="R475" s="11" t="str">
        <f aca="false">IF(AND(N475&lt;&gt;"",H475&lt;&gt;I475),IF(E475="Buy",(N475-H475)/(H475-I475),(H475-N475)/(I475-H475)),"")</f>
        <v/>
      </c>
      <c r="S475" s="7" t="str">
        <f aca="false">IF(D475="","",IF(N475&lt;&gt;"","Closed","Open"))</f>
        <v/>
      </c>
      <c r="T475" s="7"/>
    </row>
    <row r="476" customFormat="false" ht="15" hidden="false" customHeight="false" outlineLevel="0" collapsed="false">
      <c r="A476" s="7"/>
      <c r="B476" s="7"/>
      <c r="C476" s="7"/>
      <c r="D476" s="7"/>
      <c r="E476" s="7"/>
      <c r="F476" s="7"/>
      <c r="G476" s="8"/>
      <c r="H476" s="9"/>
      <c r="I476" s="9"/>
      <c r="J476" s="9"/>
      <c r="K476" s="7"/>
      <c r="L476" s="7"/>
      <c r="M476" s="9" t="str">
        <f aca="false">IF(AND(H476&lt;&gt;"",I476&lt;&gt;"",K476&lt;&gt;""),ABS(H476-I476)*K476,"")</f>
        <v/>
      </c>
      <c r="N476" s="9"/>
      <c r="O476" s="7"/>
      <c r="P476" s="9" t="str">
        <f aca="false">IF(N476&lt;&gt;"",(N476-H476)*K476*IF(E476="Buy",1,-1),"")</f>
        <v/>
      </c>
      <c r="Q476" s="10" t="str">
        <f aca="false">IF(AND(P476&lt;&gt;"",H476&lt;&gt;0,K476&lt;&gt;0),P476/(H476*K476),"")</f>
        <v/>
      </c>
      <c r="R476" s="11" t="str">
        <f aca="false">IF(AND(N476&lt;&gt;"",H476&lt;&gt;I476),IF(E476="Buy",(N476-H476)/(H476-I476),(H476-N476)/(I476-H476)),"")</f>
        <v/>
      </c>
      <c r="S476" s="7" t="str">
        <f aca="false">IF(D476="","",IF(N476&lt;&gt;"","Closed","Open"))</f>
        <v/>
      </c>
      <c r="T476" s="7"/>
    </row>
    <row r="477" customFormat="false" ht="15" hidden="false" customHeight="false" outlineLevel="0" collapsed="false">
      <c r="A477" s="7"/>
      <c r="B477" s="7"/>
      <c r="C477" s="7"/>
      <c r="D477" s="7"/>
      <c r="E477" s="7"/>
      <c r="F477" s="7"/>
      <c r="G477" s="8"/>
      <c r="H477" s="9"/>
      <c r="I477" s="9"/>
      <c r="J477" s="9"/>
      <c r="K477" s="7"/>
      <c r="L477" s="7"/>
      <c r="M477" s="9" t="str">
        <f aca="false">IF(AND(H477&lt;&gt;"",I477&lt;&gt;"",K477&lt;&gt;""),ABS(H477-I477)*K477,"")</f>
        <v/>
      </c>
      <c r="N477" s="9"/>
      <c r="O477" s="7"/>
      <c r="P477" s="9" t="str">
        <f aca="false">IF(N477&lt;&gt;"",(N477-H477)*K477*IF(E477="Buy",1,-1),"")</f>
        <v/>
      </c>
      <c r="Q477" s="10" t="str">
        <f aca="false">IF(AND(P477&lt;&gt;"",H477&lt;&gt;0,K477&lt;&gt;0),P477/(H477*K477),"")</f>
        <v/>
      </c>
      <c r="R477" s="11" t="str">
        <f aca="false">IF(AND(N477&lt;&gt;"",H477&lt;&gt;I477),IF(E477="Buy",(N477-H477)/(H477-I477),(H477-N477)/(I477-H477)),"")</f>
        <v/>
      </c>
      <c r="S477" s="7" t="str">
        <f aca="false">IF(D477="","",IF(N477&lt;&gt;"","Closed","Open"))</f>
        <v/>
      </c>
      <c r="T477" s="7"/>
    </row>
    <row r="478" customFormat="false" ht="15" hidden="false" customHeight="false" outlineLevel="0" collapsed="false">
      <c r="A478" s="7"/>
      <c r="B478" s="7"/>
      <c r="C478" s="7"/>
      <c r="D478" s="7"/>
      <c r="E478" s="7"/>
      <c r="F478" s="7"/>
      <c r="G478" s="8"/>
      <c r="H478" s="9"/>
      <c r="I478" s="9"/>
      <c r="J478" s="9"/>
      <c r="K478" s="7"/>
      <c r="L478" s="7"/>
      <c r="M478" s="9" t="str">
        <f aca="false">IF(AND(H478&lt;&gt;"",I478&lt;&gt;"",K478&lt;&gt;""),ABS(H478-I478)*K478,"")</f>
        <v/>
      </c>
      <c r="N478" s="9"/>
      <c r="O478" s="7"/>
      <c r="P478" s="9" t="str">
        <f aca="false">IF(N478&lt;&gt;"",(N478-H478)*K478*IF(E478="Buy",1,-1),"")</f>
        <v/>
      </c>
      <c r="Q478" s="10" t="str">
        <f aca="false">IF(AND(P478&lt;&gt;"",H478&lt;&gt;0,K478&lt;&gt;0),P478/(H478*K478),"")</f>
        <v/>
      </c>
      <c r="R478" s="11" t="str">
        <f aca="false">IF(AND(N478&lt;&gt;"",H478&lt;&gt;I478),IF(E478="Buy",(N478-H478)/(H478-I478),(H478-N478)/(I478-H478)),"")</f>
        <v/>
      </c>
      <c r="S478" s="7" t="str">
        <f aca="false">IF(D478="","",IF(N478&lt;&gt;"","Closed","Open"))</f>
        <v/>
      </c>
      <c r="T478" s="7"/>
    </row>
    <row r="479" customFormat="false" ht="15" hidden="false" customHeight="false" outlineLevel="0" collapsed="false">
      <c r="A479" s="7"/>
      <c r="B479" s="7"/>
      <c r="C479" s="7"/>
      <c r="D479" s="7"/>
      <c r="E479" s="7"/>
      <c r="F479" s="7"/>
      <c r="G479" s="8"/>
      <c r="H479" s="9"/>
      <c r="I479" s="9"/>
      <c r="J479" s="9"/>
      <c r="K479" s="7"/>
      <c r="L479" s="7"/>
      <c r="M479" s="9" t="str">
        <f aca="false">IF(AND(H479&lt;&gt;"",I479&lt;&gt;"",K479&lt;&gt;""),ABS(H479-I479)*K479,"")</f>
        <v/>
      </c>
      <c r="N479" s="9"/>
      <c r="O479" s="7"/>
      <c r="P479" s="9" t="str">
        <f aca="false">IF(N479&lt;&gt;"",(N479-H479)*K479*IF(E479="Buy",1,-1),"")</f>
        <v/>
      </c>
      <c r="Q479" s="10" t="str">
        <f aca="false">IF(AND(P479&lt;&gt;"",H479&lt;&gt;0,K479&lt;&gt;0),P479/(H479*K479),"")</f>
        <v/>
      </c>
      <c r="R479" s="11" t="str">
        <f aca="false">IF(AND(N479&lt;&gt;"",H479&lt;&gt;I479),IF(E479="Buy",(N479-H479)/(H479-I479),(H479-N479)/(I479-H479)),"")</f>
        <v/>
      </c>
      <c r="S479" s="7" t="str">
        <f aca="false">IF(D479="","",IF(N479&lt;&gt;"","Closed","Open"))</f>
        <v/>
      </c>
      <c r="T479" s="7"/>
    </row>
    <row r="480" customFormat="false" ht="15" hidden="false" customHeight="false" outlineLevel="0" collapsed="false">
      <c r="A480" s="7"/>
      <c r="B480" s="7"/>
      <c r="C480" s="7"/>
      <c r="D480" s="7"/>
      <c r="E480" s="7"/>
      <c r="F480" s="7"/>
      <c r="G480" s="8"/>
      <c r="H480" s="9"/>
      <c r="I480" s="9"/>
      <c r="J480" s="9"/>
      <c r="K480" s="7"/>
      <c r="L480" s="7"/>
      <c r="M480" s="9" t="str">
        <f aca="false">IF(AND(H480&lt;&gt;"",I480&lt;&gt;"",K480&lt;&gt;""),ABS(H480-I480)*K480,"")</f>
        <v/>
      </c>
      <c r="N480" s="9"/>
      <c r="O480" s="7"/>
      <c r="P480" s="9" t="str">
        <f aca="false">IF(N480&lt;&gt;"",(N480-H480)*K480*IF(E480="Buy",1,-1),"")</f>
        <v/>
      </c>
      <c r="Q480" s="10" t="str">
        <f aca="false">IF(AND(P480&lt;&gt;"",H480&lt;&gt;0,K480&lt;&gt;0),P480/(H480*K480),"")</f>
        <v/>
      </c>
      <c r="R480" s="11" t="str">
        <f aca="false">IF(AND(N480&lt;&gt;"",H480&lt;&gt;I480),IF(E480="Buy",(N480-H480)/(H480-I480),(H480-N480)/(I480-H480)),"")</f>
        <v/>
      </c>
      <c r="S480" s="7" t="str">
        <f aca="false">IF(D480="","",IF(N480&lt;&gt;"","Closed","Open"))</f>
        <v/>
      </c>
      <c r="T480" s="7"/>
    </row>
    <row r="481" customFormat="false" ht="15" hidden="false" customHeight="false" outlineLevel="0" collapsed="false">
      <c r="A481" s="7"/>
      <c r="B481" s="7"/>
      <c r="C481" s="7"/>
      <c r="D481" s="7"/>
      <c r="E481" s="7"/>
      <c r="F481" s="7"/>
      <c r="G481" s="8"/>
      <c r="H481" s="9"/>
      <c r="I481" s="9"/>
      <c r="J481" s="9"/>
      <c r="K481" s="7"/>
      <c r="L481" s="7"/>
      <c r="M481" s="9" t="str">
        <f aca="false">IF(AND(H481&lt;&gt;"",I481&lt;&gt;"",K481&lt;&gt;""),ABS(H481-I481)*K481,"")</f>
        <v/>
      </c>
      <c r="N481" s="9"/>
      <c r="O481" s="7"/>
      <c r="P481" s="9" t="str">
        <f aca="false">IF(N481&lt;&gt;"",(N481-H481)*K481*IF(E481="Buy",1,-1),"")</f>
        <v/>
      </c>
      <c r="Q481" s="10" t="str">
        <f aca="false">IF(AND(P481&lt;&gt;"",H481&lt;&gt;0,K481&lt;&gt;0),P481/(H481*K481),"")</f>
        <v/>
      </c>
      <c r="R481" s="11" t="str">
        <f aca="false">IF(AND(N481&lt;&gt;"",H481&lt;&gt;I481),IF(E481="Buy",(N481-H481)/(H481-I481),(H481-N481)/(I481-H481)),"")</f>
        <v/>
      </c>
      <c r="S481" s="7" t="str">
        <f aca="false">IF(D481="","",IF(N481&lt;&gt;"","Closed","Open"))</f>
        <v/>
      </c>
      <c r="T481" s="7"/>
    </row>
    <row r="482" customFormat="false" ht="15" hidden="false" customHeight="false" outlineLevel="0" collapsed="false">
      <c r="A482" s="7"/>
      <c r="B482" s="7"/>
      <c r="C482" s="7"/>
      <c r="D482" s="7"/>
      <c r="E482" s="7"/>
      <c r="F482" s="7"/>
      <c r="G482" s="8"/>
      <c r="H482" s="9"/>
      <c r="I482" s="9"/>
      <c r="J482" s="9"/>
      <c r="K482" s="7"/>
      <c r="L482" s="7"/>
      <c r="M482" s="9" t="str">
        <f aca="false">IF(AND(H482&lt;&gt;"",I482&lt;&gt;"",K482&lt;&gt;""),ABS(H482-I482)*K482,"")</f>
        <v/>
      </c>
      <c r="N482" s="9"/>
      <c r="O482" s="7"/>
      <c r="P482" s="9" t="str">
        <f aca="false">IF(N482&lt;&gt;"",(N482-H482)*K482*IF(E482="Buy",1,-1),"")</f>
        <v/>
      </c>
      <c r="Q482" s="10" t="str">
        <f aca="false">IF(AND(P482&lt;&gt;"",H482&lt;&gt;0,K482&lt;&gt;0),P482/(H482*K482),"")</f>
        <v/>
      </c>
      <c r="R482" s="11" t="str">
        <f aca="false">IF(AND(N482&lt;&gt;"",H482&lt;&gt;I482),IF(E482="Buy",(N482-H482)/(H482-I482),(H482-N482)/(I482-H482)),"")</f>
        <v/>
      </c>
      <c r="S482" s="7" t="str">
        <f aca="false">IF(D482="","",IF(N482&lt;&gt;"","Closed","Open"))</f>
        <v/>
      </c>
      <c r="T482" s="7"/>
    </row>
    <row r="483" customFormat="false" ht="15" hidden="false" customHeight="false" outlineLevel="0" collapsed="false">
      <c r="A483" s="7"/>
      <c r="B483" s="7"/>
      <c r="C483" s="7"/>
      <c r="D483" s="7"/>
      <c r="E483" s="7"/>
      <c r="F483" s="7"/>
      <c r="G483" s="8"/>
      <c r="H483" s="9"/>
      <c r="I483" s="9"/>
      <c r="J483" s="9"/>
      <c r="K483" s="7"/>
      <c r="L483" s="7"/>
      <c r="M483" s="9" t="str">
        <f aca="false">IF(AND(H483&lt;&gt;"",I483&lt;&gt;"",K483&lt;&gt;""),ABS(H483-I483)*K483,"")</f>
        <v/>
      </c>
      <c r="N483" s="9"/>
      <c r="O483" s="7"/>
      <c r="P483" s="9" t="str">
        <f aca="false">IF(N483&lt;&gt;"",(N483-H483)*K483*IF(E483="Buy",1,-1),"")</f>
        <v/>
      </c>
      <c r="Q483" s="10" t="str">
        <f aca="false">IF(AND(P483&lt;&gt;"",H483&lt;&gt;0,K483&lt;&gt;0),P483/(H483*K483),"")</f>
        <v/>
      </c>
      <c r="R483" s="11" t="str">
        <f aca="false">IF(AND(N483&lt;&gt;"",H483&lt;&gt;I483),IF(E483="Buy",(N483-H483)/(H483-I483),(H483-N483)/(I483-H483)),"")</f>
        <v/>
      </c>
      <c r="S483" s="7" t="str">
        <f aca="false">IF(D483="","",IF(N483&lt;&gt;"","Closed","Open"))</f>
        <v/>
      </c>
      <c r="T483" s="7"/>
    </row>
    <row r="484" customFormat="false" ht="15" hidden="false" customHeight="false" outlineLevel="0" collapsed="false">
      <c r="A484" s="7"/>
      <c r="B484" s="7"/>
      <c r="C484" s="7"/>
      <c r="D484" s="7"/>
      <c r="E484" s="7"/>
      <c r="F484" s="7"/>
      <c r="G484" s="8"/>
      <c r="H484" s="9"/>
      <c r="I484" s="9"/>
      <c r="J484" s="9"/>
      <c r="K484" s="7"/>
      <c r="L484" s="7"/>
      <c r="M484" s="9" t="str">
        <f aca="false">IF(AND(H484&lt;&gt;"",I484&lt;&gt;"",K484&lt;&gt;""),ABS(H484-I484)*K484,"")</f>
        <v/>
      </c>
      <c r="N484" s="9"/>
      <c r="O484" s="7"/>
      <c r="P484" s="9" t="str">
        <f aca="false">IF(N484&lt;&gt;"",(N484-H484)*K484*IF(E484="Buy",1,-1),"")</f>
        <v/>
      </c>
      <c r="Q484" s="10" t="str">
        <f aca="false">IF(AND(P484&lt;&gt;"",H484&lt;&gt;0,K484&lt;&gt;0),P484/(H484*K484),"")</f>
        <v/>
      </c>
      <c r="R484" s="11" t="str">
        <f aca="false">IF(AND(N484&lt;&gt;"",H484&lt;&gt;I484),IF(E484="Buy",(N484-H484)/(H484-I484),(H484-N484)/(I484-H484)),"")</f>
        <v/>
      </c>
      <c r="S484" s="7" t="str">
        <f aca="false">IF(D484="","",IF(N484&lt;&gt;"","Closed","Open"))</f>
        <v/>
      </c>
      <c r="T484" s="7"/>
    </row>
    <row r="485" customFormat="false" ht="15" hidden="false" customHeight="false" outlineLevel="0" collapsed="false">
      <c r="A485" s="7"/>
      <c r="B485" s="7"/>
      <c r="C485" s="7"/>
      <c r="D485" s="7"/>
      <c r="E485" s="7"/>
      <c r="F485" s="7"/>
      <c r="G485" s="8"/>
      <c r="H485" s="9"/>
      <c r="I485" s="9"/>
      <c r="J485" s="9"/>
      <c r="K485" s="7"/>
      <c r="L485" s="7"/>
      <c r="M485" s="9" t="str">
        <f aca="false">IF(AND(H485&lt;&gt;"",I485&lt;&gt;"",K485&lt;&gt;""),ABS(H485-I485)*K485,"")</f>
        <v/>
      </c>
      <c r="N485" s="9"/>
      <c r="O485" s="7"/>
      <c r="P485" s="9" t="str">
        <f aca="false">IF(N485&lt;&gt;"",(N485-H485)*K485*IF(E485="Buy",1,-1),"")</f>
        <v/>
      </c>
      <c r="Q485" s="10" t="str">
        <f aca="false">IF(AND(P485&lt;&gt;"",H485&lt;&gt;0,K485&lt;&gt;0),P485/(H485*K485),"")</f>
        <v/>
      </c>
      <c r="R485" s="11" t="str">
        <f aca="false">IF(AND(N485&lt;&gt;"",H485&lt;&gt;I485),IF(E485="Buy",(N485-H485)/(H485-I485),(H485-N485)/(I485-H485)),"")</f>
        <v/>
      </c>
      <c r="S485" s="7" t="str">
        <f aca="false">IF(D485="","",IF(N485&lt;&gt;"","Closed","Open"))</f>
        <v/>
      </c>
      <c r="T485" s="7"/>
    </row>
    <row r="486" customFormat="false" ht="15" hidden="false" customHeight="false" outlineLevel="0" collapsed="false">
      <c r="A486" s="7"/>
      <c r="B486" s="7"/>
      <c r="C486" s="7"/>
      <c r="D486" s="7"/>
      <c r="E486" s="7"/>
      <c r="F486" s="7"/>
      <c r="G486" s="8"/>
      <c r="H486" s="9"/>
      <c r="I486" s="9"/>
      <c r="J486" s="9"/>
      <c r="K486" s="7"/>
      <c r="L486" s="7"/>
      <c r="M486" s="9" t="str">
        <f aca="false">IF(AND(H486&lt;&gt;"",I486&lt;&gt;"",K486&lt;&gt;""),ABS(H486-I486)*K486,"")</f>
        <v/>
      </c>
      <c r="N486" s="9"/>
      <c r="O486" s="7"/>
      <c r="P486" s="9" t="str">
        <f aca="false">IF(N486&lt;&gt;"",(N486-H486)*K486*IF(E486="Buy",1,-1),"")</f>
        <v/>
      </c>
      <c r="Q486" s="10" t="str">
        <f aca="false">IF(AND(P486&lt;&gt;"",H486&lt;&gt;0,K486&lt;&gt;0),P486/(H486*K486),"")</f>
        <v/>
      </c>
      <c r="R486" s="11" t="str">
        <f aca="false">IF(AND(N486&lt;&gt;"",H486&lt;&gt;I486),IF(E486="Buy",(N486-H486)/(H486-I486),(H486-N486)/(I486-H486)),"")</f>
        <v/>
      </c>
      <c r="S486" s="7" t="str">
        <f aca="false">IF(D486="","",IF(N486&lt;&gt;"","Closed","Open"))</f>
        <v/>
      </c>
      <c r="T486" s="7"/>
    </row>
    <row r="487" customFormat="false" ht="15" hidden="false" customHeight="false" outlineLevel="0" collapsed="false">
      <c r="A487" s="7"/>
      <c r="B487" s="7"/>
      <c r="C487" s="7"/>
      <c r="D487" s="7"/>
      <c r="E487" s="7"/>
      <c r="F487" s="7"/>
      <c r="G487" s="8"/>
      <c r="H487" s="9"/>
      <c r="I487" s="9"/>
      <c r="J487" s="9"/>
      <c r="K487" s="7"/>
      <c r="L487" s="7"/>
      <c r="M487" s="9" t="str">
        <f aca="false">IF(AND(H487&lt;&gt;"",I487&lt;&gt;"",K487&lt;&gt;""),ABS(H487-I487)*K487,"")</f>
        <v/>
      </c>
      <c r="N487" s="9"/>
      <c r="O487" s="7"/>
      <c r="P487" s="9" t="str">
        <f aca="false">IF(N487&lt;&gt;"",(N487-H487)*K487*IF(E487="Buy",1,-1),"")</f>
        <v/>
      </c>
      <c r="Q487" s="10" t="str">
        <f aca="false">IF(AND(P487&lt;&gt;"",H487&lt;&gt;0,K487&lt;&gt;0),P487/(H487*K487),"")</f>
        <v/>
      </c>
      <c r="R487" s="11" t="str">
        <f aca="false">IF(AND(N487&lt;&gt;"",H487&lt;&gt;I487),IF(E487="Buy",(N487-H487)/(H487-I487),(H487-N487)/(I487-H487)),"")</f>
        <v/>
      </c>
      <c r="S487" s="7" t="str">
        <f aca="false">IF(D487="","",IF(N487&lt;&gt;"","Closed","Open"))</f>
        <v/>
      </c>
      <c r="T487" s="7"/>
    </row>
    <row r="488" customFormat="false" ht="15" hidden="false" customHeight="false" outlineLevel="0" collapsed="false">
      <c r="A488" s="7"/>
      <c r="B488" s="7"/>
      <c r="C488" s="7"/>
      <c r="D488" s="7"/>
      <c r="E488" s="7"/>
      <c r="F488" s="7"/>
      <c r="G488" s="8"/>
      <c r="H488" s="9"/>
      <c r="I488" s="9"/>
      <c r="J488" s="9"/>
      <c r="K488" s="7"/>
      <c r="L488" s="7"/>
      <c r="M488" s="9" t="str">
        <f aca="false">IF(AND(H488&lt;&gt;"",I488&lt;&gt;"",K488&lt;&gt;""),ABS(H488-I488)*K488,"")</f>
        <v/>
      </c>
      <c r="N488" s="9"/>
      <c r="O488" s="7"/>
      <c r="P488" s="9" t="str">
        <f aca="false">IF(N488&lt;&gt;"",(N488-H488)*K488*IF(E488="Buy",1,-1),"")</f>
        <v/>
      </c>
      <c r="Q488" s="10" t="str">
        <f aca="false">IF(AND(P488&lt;&gt;"",H488&lt;&gt;0,K488&lt;&gt;0),P488/(H488*K488),"")</f>
        <v/>
      </c>
      <c r="R488" s="11" t="str">
        <f aca="false">IF(AND(N488&lt;&gt;"",H488&lt;&gt;I488),IF(E488="Buy",(N488-H488)/(H488-I488),(H488-N488)/(I488-H488)),"")</f>
        <v/>
      </c>
      <c r="S488" s="7" t="str">
        <f aca="false">IF(D488="","",IF(N488&lt;&gt;"","Closed","Open"))</f>
        <v/>
      </c>
      <c r="T488" s="7"/>
    </row>
    <row r="489" customFormat="false" ht="15" hidden="false" customHeight="false" outlineLevel="0" collapsed="false">
      <c r="A489" s="7"/>
      <c r="B489" s="7"/>
      <c r="C489" s="7"/>
      <c r="D489" s="7"/>
      <c r="E489" s="7"/>
      <c r="F489" s="7"/>
      <c r="G489" s="8"/>
      <c r="H489" s="9"/>
      <c r="I489" s="9"/>
      <c r="J489" s="9"/>
      <c r="K489" s="7"/>
      <c r="L489" s="7"/>
      <c r="M489" s="9" t="str">
        <f aca="false">IF(AND(H489&lt;&gt;"",I489&lt;&gt;"",K489&lt;&gt;""),ABS(H489-I489)*K489,"")</f>
        <v/>
      </c>
      <c r="N489" s="9"/>
      <c r="O489" s="7"/>
      <c r="P489" s="9" t="str">
        <f aca="false">IF(N489&lt;&gt;"",(N489-H489)*K489*IF(E489="Buy",1,-1),"")</f>
        <v/>
      </c>
      <c r="Q489" s="10" t="str">
        <f aca="false">IF(AND(P489&lt;&gt;"",H489&lt;&gt;0,K489&lt;&gt;0),P489/(H489*K489),"")</f>
        <v/>
      </c>
      <c r="R489" s="11" t="str">
        <f aca="false">IF(AND(N489&lt;&gt;"",H489&lt;&gt;I489),IF(E489="Buy",(N489-H489)/(H489-I489),(H489-N489)/(I489-H489)),"")</f>
        <v/>
      </c>
      <c r="S489" s="7" t="str">
        <f aca="false">IF(D489="","",IF(N489&lt;&gt;"","Closed","Open"))</f>
        <v/>
      </c>
      <c r="T489" s="7"/>
    </row>
    <row r="490" customFormat="false" ht="15" hidden="false" customHeight="false" outlineLevel="0" collapsed="false">
      <c r="A490" s="7"/>
      <c r="B490" s="7"/>
      <c r="C490" s="7"/>
      <c r="D490" s="7"/>
      <c r="E490" s="7"/>
      <c r="F490" s="7"/>
      <c r="G490" s="8"/>
      <c r="H490" s="9"/>
      <c r="I490" s="9"/>
      <c r="J490" s="9"/>
      <c r="K490" s="7"/>
      <c r="L490" s="7"/>
      <c r="M490" s="9" t="str">
        <f aca="false">IF(AND(H490&lt;&gt;"",I490&lt;&gt;"",K490&lt;&gt;""),ABS(H490-I490)*K490,"")</f>
        <v/>
      </c>
      <c r="N490" s="9"/>
      <c r="O490" s="7"/>
      <c r="P490" s="9" t="str">
        <f aca="false">IF(N490&lt;&gt;"",(N490-H490)*K490*IF(E490="Buy",1,-1),"")</f>
        <v/>
      </c>
      <c r="Q490" s="10" t="str">
        <f aca="false">IF(AND(P490&lt;&gt;"",H490&lt;&gt;0,K490&lt;&gt;0),P490/(H490*K490),"")</f>
        <v/>
      </c>
      <c r="R490" s="11" t="str">
        <f aca="false">IF(AND(N490&lt;&gt;"",H490&lt;&gt;I490),IF(E490="Buy",(N490-H490)/(H490-I490),(H490-N490)/(I490-H490)),"")</f>
        <v/>
      </c>
      <c r="S490" s="7" t="str">
        <f aca="false">IF(D490="","",IF(N490&lt;&gt;"","Closed","Open"))</f>
        <v/>
      </c>
      <c r="T490" s="7"/>
    </row>
    <row r="491" customFormat="false" ht="15" hidden="false" customHeight="false" outlineLevel="0" collapsed="false">
      <c r="A491" s="7"/>
      <c r="B491" s="7"/>
      <c r="C491" s="7"/>
      <c r="D491" s="7"/>
      <c r="E491" s="7"/>
      <c r="F491" s="7"/>
      <c r="G491" s="8"/>
      <c r="H491" s="9"/>
      <c r="I491" s="9"/>
      <c r="J491" s="9"/>
      <c r="K491" s="7"/>
      <c r="L491" s="7"/>
      <c r="M491" s="9" t="str">
        <f aca="false">IF(AND(H491&lt;&gt;"",I491&lt;&gt;"",K491&lt;&gt;""),ABS(H491-I491)*K491,"")</f>
        <v/>
      </c>
      <c r="N491" s="9"/>
      <c r="O491" s="7"/>
      <c r="P491" s="9" t="str">
        <f aca="false">IF(N491&lt;&gt;"",(N491-H491)*K491*IF(E491="Buy",1,-1),"")</f>
        <v/>
      </c>
      <c r="Q491" s="10" t="str">
        <f aca="false">IF(AND(P491&lt;&gt;"",H491&lt;&gt;0,K491&lt;&gt;0),P491/(H491*K491),"")</f>
        <v/>
      </c>
      <c r="R491" s="11" t="str">
        <f aca="false">IF(AND(N491&lt;&gt;"",H491&lt;&gt;I491),IF(E491="Buy",(N491-H491)/(H491-I491),(H491-N491)/(I491-H491)),"")</f>
        <v/>
      </c>
      <c r="S491" s="7" t="str">
        <f aca="false">IF(D491="","",IF(N491&lt;&gt;"","Closed","Open"))</f>
        <v/>
      </c>
      <c r="T491" s="7"/>
    </row>
    <row r="492" customFormat="false" ht="15" hidden="false" customHeight="false" outlineLevel="0" collapsed="false">
      <c r="A492" s="7"/>
      <c r="B492" s="7"/>
      <c r="C492" s="7"/>
      <c r="D492" s="7"/>
      <c r="E492" s="7"/>
      <c r="F492" s="7"/>
      <c r="G492" s="8"/>
      <c r="H492" s="9"/>
      <c r="I492" s="9"/>
      <c r="J492" s="9"/>
      <c r="K492" s="7"/>
      <c r="L492" s="7"/>
      <c r="M492" s="9" t="str">
        <f aca="false">IF(AND(H492&lt;&gt;"",I492&lt;&gt;"",K492&lt;&gt;""),ABS(H492-I492)*K492,"")</f>
        <v/>
      </c>
      <c r="N492" s="9"/>
      <c r="O492" s="7"/>
      <c r="P492" s="9" t="str">
        <f aca="false">IF(N492&lt;&gt;"",(N492-H492)*K492*IF(E492="Buy",1,-1),"")</f>
        <v/>
      </c>
      <c r="Q492" s="10" t="str">
        <f aca="false">IF(AND(P492&lt;&gt;"",H492&lt;&gt;0,K492&lt;&gt;0),P492/(H492*K492),"")</f>
        <v/>
      </c>
      <c r="R492" s="11" t="str">
        <f aca="false">IF(AND(N492&lt;&gt;"",H492&lt;&gt;I492),IF(E492="Buy",(N492-H492)/(H492-I492),(H492-N492)/(I492-H492)),"")</f>
        <v/>
      </c>
      <c r="S492" s="7" t="str">
        <f aca="false">IF(D492="","",IF(N492&lt;&gt;"","Closed","Open"))</f>
        <v/>
      </c>
      <c r="T492" s="7"/>
    </row>
    <row r="493" customFormat="false" ht="15" hidden="false" customHeight="false" outlineLevel="0" collapsed="false">
      <c r="A493" s="7"/>
      <c r="B493" s="7"/>
      <c r="C493" s="7"/>
      <c r="D493" s="7"/>
      <c r="E493" s="7"/>
      <c r="F493" s="7"/>
      <c r="G493" s="8"/>
      <c r="H493" s="9"/>
      <c r="I493" s="9"/>
      <c r="J493" s="9"/>
      <c r="K493" s="7"/>
      <c r="L493" s="7"/>
      <c r="M493" s="9" t="str">
        <f aca="false">IF(AND(H493&lt;&gt;"",I493&lt;&gt;"",K493&lt;&gt;""),ABS(H493-I493)*K493,"")</f>
        <v/>
      </c>
      <c r="N493" s="9"/>
      <c r="O493" s="7"/>
      <c r="P493" s="9" t="str">
        <f aca="false">IF(N493&lt;&gt;"",(N493-H493)*K493*IF(E493="Buy",1,-1),"")</f>
        <v/>
      </c>
      <c r="Q493" s="10" t="str">
        <f aca="false">IF(AND(P493&lt;&gt;"",H493&lt;&gt;0,K493&lt;&gt;0),P493/(H493*K493),"")</f>
        <v/>
      </c>
      <c r="R493" s="11" t="str">
        <f aca="false">IF(AND(N493&lt;&gt;"",H493&lt;&gt;I493),IF(E493="Buy",(N493-H493)/(H493-I493),(H493-N493)/(I493-H493)),"")</f>
        <v/>
      </c>
      <c r="S493" s="7" t="str">
        <f aca="false">IF(D493="","",IF(N493&lt;&gt;"","Closed","Open"))</f>
        <v/>
      </c>
      <c r="T493" s="7"/>
    </row>
    <row r="494" customFormat="false" ht="15" hidden="false" customHeight="false" outlineLevel="0" collapsed="false">
      <c r="A494" s="7"/>
      <c r="B494" s="7"/>
      <c r="C494" s="7"/>
      <c r="D494" s="7"/>
      <c r="E494" s="7"/>
      <c r="F494" s="7"/>
      <c r="G494" s="8"/>
      <c r="H494" s="9"/>
      <c r="I494" s="9"/>
      <c r="J494" s="9"/>
      <c r="K494" s="7"/>
      <c r="L494" s="7"/>
      <c r="M494" s="9" t="str">
        <f aca="false">IF(AND(H494&lt;&gt;"",I494&lt;&gt;"",K494&lt;&gt;""),ABS(H494-I494)*K494,"")</f>
        <v/>
      </c>
      <c r="N494" s="9"/>
      <c r="O494" s="7"/>
      <c r="P494" s="9" t="str">
        <f aca="false">IF(N494&lt;&gt;"",(N494-H494)*K494*IF(E494="Buy",1,-1),"")</f>
        <v/>
      </c>
      <c r="Q494" s="10" t="str">
        <f aca="false">IF(AND(P494&lt;&gt;"",H494&lt;&gt;0,K494&lt;&gt;0),P494/(H494*K494),"")</f>
        <v/>
      </c>
      <c r="R494" s="11" t="str">
        <f aca="false">IF(AND(N494&lt;&gt;"",H494&lt;&gt;I494),IF(E494="Buy",(N494-H494)/(H494-I494),(H494-N494)/(I494-H494)),"")</f>
        <v/>
      </c>
      <c r="S494" s="7" t="str">
        <f aca="false">IF(D494="","",IF(N494&lt;&gt;"","Closed","Open"))</f>
        <v/>
      </c>
      <c r="T494" s="7"/>
    </row>
    <row r="495" customFormat="false" ht="15" hidden="false" customHeight="false" outlineLevel="0" collapsed="false">
      <c r="A495" s="7"/>
      <c r="B495" s="7"/>
      <c r="C495" s="7"/>
      <c r="D495" s="7"/>
      <c r="E495" s="7"/>
      <c r="F495" s="7"/>
      <c r="G495" s="8"/>
      <c r="H495" s="9"/>
      <c r="I495" s="9"/>
      <c r="J495" s="9"/>
      <c r="K495" s="7"/>
      <c r="L495" s="7"/>
      <c r="M495" s="9" t="str">
        <f aca="false">IF(AND(H495&lt;&gt;"",I495&lt;&gt;"",K495&lt;&gt;""),ABS(H495-I495)*K495,"")</f>
        <v/>
      </c>
      <c r="N495" s="9"/>
      <c r="O495" s="7"/>
      <c r="P495" s="9" t="str">
        <f aca="false">IF(N495&lt;&gt;"",(N495-H495)*K495*IF(E495="Buy",1,-1),"")</f>
        <v/>
      </c>
      <c r="Q495" s="10" t="str">
        <f aca="false">IF(AND(P495&lt;&gt;"",H495&lt;&gt;0,K495&lt;&gt;0),P495/(H495*K495),"")</f>
        <v/>
      </c>
      <c r="R495" s="11" t="str">
        <f aca="false">IF(AND(N495&lt;&gt;"",H495&lt;&gt;I495),IF(E495="Buy",(N495-H495)/(H495-I495),(H495-N495)/(I495-H495)),"")</f>
        <v/>
      </c>
      <c r="S495" s="7" t="str">
        <f aca="false">IF(D495="","",IF(N495&lt;&gt;"","Closed","Open"))</f>
        <v/>
      </c>
      <c r="T495" s="7"/>
    </row>
    <row r="496" customFormat="false" ht="15" hidden="false" customHeight="false" outlineLevel="0" collapsed="false">
      <c r="A496" s="7"/>
      <c r="B496" s="7"/>
      <c r="C496" s="7"/>
      <c r="D496" s="7"/>
      <c r="E496" s="7"/>
      <c r="F496" s="7"/>
      <c r="G496" s="8"/>
      <c r="H496" s="9"/>
      <c r="I496" s="9"/>
      <c r="J496" s="9"/>
      <c r="K496" s="7"/>
      <c r="L496" s="7"/>
      <c r="M496" s="9" t="str">
        <f aca="false">IF(AND(H496&lt;&gt;"",I496&lt;&gt;"",K496&lt;&gt;""),ABS(H496-I496)*K496,"")</f>
        <v/>
      </c>
      <c r="N496" s="9"/>
      <c r="O496" s="7"/>
      <c r="P496" s="9" t="str">
        <f aca="false">IF(N496&lt;&gt;"",(N496-H496)*K496*IF(E496="Buy",1,-1),"")</f>
        <v/>
      </c>
      <c r="Q496" s="10" t="str">
        <f aca="false">IF(AND(P496&lt;&gt;"",H496&lt;&gt;0,K496&lt;&gt;0),P496/(H496*K496),"")</f>
        <v/>
      </c>
      <c r="R496" s="11" t="str">
        <f aca="false">IF(AND(N496&lt;&gt;"",H496&lt;&gt;I496),IF(E496="Buy",(N496-H496)/(H496-I496),(H496-N496)/(I496-H496)),"")</f>
        <v/>
      </c>
      <c r="S496" s="7" t="str">
        <f aca="false">IF(D496="","",IF(N496&lt;&gt;"","Closed","Open"))</f>
        <v/>
      </c>
      <c r="T496" s="7"/>
    </row>
    <row r="497" customFormat="false" ht="15" hidden="false" customHeight="false" outlineLevel="0" collapsed="false">
      <c r="A497" s="7"/>
      <c r="B497" s="7"/>
      <c r="C497" s="7"/>
      <c r="D497" s="7"/>
      <c r="E497" s="7"/>
      <c r="F497" s="7"/>
      <c r="G497" s="8"/>
      <c r="H497" s="9"/>
      <c r="I497" s="9"/>
      <c r="J497" s="9"/>
      <c r="K497" s="7"/>
      <c r="L497" s="7"/>
      <c r="M497" s="9" t="str">
        <f aca="false">IF(AND(H497&lt;&gt;"",I497&lt;&gt;"",K497&lt;&gt;""),ABS(H497-I497)*K497,"")</f>
        <v/>
      </c>
      <c r="N497" s="9"/>
      <c r="O497" s="7"/>
      <c r="P497" s="9" t="str">
        <f aca="false">IF(N497&lt;&gt;"",(N497-H497)*K497*IF(E497="Buy",1,-1),"")</f>
        <v/>
      </c>
      <c r="Q497" s="10" t="str">
        <f aca="false">IF(AND(P497&lt;&gt;"",H497&lt;&gt;0,K497&lt;&gt;0),P497/(H497*K497),"")</f>
        <v/>
      </c>
      <c r="R497" s="11" t="str">
        <f aca="false">IF(AND(N497&lt;&gt;"",H497&lt;&gt;I497),IF(E497="Buy",(N497-H497)/(H497-I497),(H497-N497)/(I497-H497)),"")</f>
        <v/>
      </c>
      <c r="S497" s="7" t="str">
        <f aca="false">IF(D497="","",IF(N497&lt;&gt;"","Closed","Open"))</f>
        <v/>
      </c>
      <c r="T497" s="7"/>
    </row>
    <row r="498" customFormat="false" ht="15" hidden="false" customHeight="false" outlineLevel="0" collapsed="false">
      <c r="A498" s="7"/>
      <c r="B498" s="7"/>
      <c r="C498" s="7"/>
      <c r="D498" s="7"/>
      <c r="E498" s="7"/>
      <c r="F498" s="7"/>
      <c r="G498" s="8"/>
      <c r="H498" s="9"/>
      <c r="I498" s="9"/>
      <c r="J498" s="9"/>
      <c r="K498" s="7"/>
      <c r="L498" s="7"/>
      <c r="M498" s="9" t="str">
        <f aca="false">IF(AND(H498&lt;&gt;"",I498&lt;&gt;"",K498&lt;&gt;""),ABS(H498-I498)*K498,"")</f>
        <v/>
      </c>
      <c r="N498" s="9"/>
      <c r="O498" s="7"/>
      <c r="P498" s="9" t="str">
        <f aca="false">IF(N498&lt;&gt;"",(N498-H498)*K498*IF(E498="Buy",1,-1),"")</f>
        <v/>
      </c>
      <c r="Q498" s="10" t="str">
        <f aca="false">IF(AND(P498&lt;&gt;"",H498&lt;&gt;0,K498&lt;&gt;0),P498/(H498*K498),"")</f>
        <v/>
      </c>
      <c r="R498" s="11" t="str">
        <f aca="false">IF(AND(N498&lt;&gt;"",H498&lt;&gt;I498),IF(E498="Buy",(N498-H498)/(H498-I498),(H498-N498)/(I498-H498)),"")</f>
        <v/>
      </c>
      <c r="S498" s="7" t="str">
        <f aca="false">IF(D498="","",IF(N498&lt;&gt;"","Closed","Open"))</f>
        <v/>
      </c>
      <c r="T498" s="7"/>
    </row>
    <row r="499" customFormat="false" ht="15" hidden="false" customHeight="false" outlineLevel="0" collapsed="false">
      <c r="A499" s="7"/>
      <c r="B499" s="7"/>
      <c r="C499" s="7"/>
      <c r="D499" s="7"/>
      <c r="E499" s="7"/>
      <c r="F499" s="7"/>
      <c r="G499" s="8"/>
      <c r="H499" s="9"/>
      <c r="I499" s="9"/>
      <c r="J499" s="9"/>
      <c r="K499" s="7"/>
      <c r="L499" s="7"/>
      <c r="M499" s="9" t="str">
        <f aca="false">IF(AND(H499&lt;&gt;"",I499&lt;&gt;"",K499&lt;&gt;""),ABS(H499-I499)*K499,"")</f>
        <v/>
      </c>
      <c r="N499" s="9"/>
      <c r="O499" s="7"/>
      <c r="P499" s="9" t="str">
        <f aca="false">IF(N499&lt;&gt;"",(N499-H499)*K499*IF(E499="Buy",1,-1),"")</f>
        <v/>
      </c>
      <c r="Q499" s="10" t="str">
        <f aca="false">IF(AND(P499&lt;&gt;"",H499&lt;&gt;0,K499&lt;&gt;0),P499/(H499*K499),"")</f>
        <v/>
      </c>
      <c r="R499" s="11" t="str">
        <f aca="false">IF(AND(N499&lt;&gt;"",H499&lt;&gt;I499),IF(E499="Buy",(N499-H499)/(H499-I499),(H499-N499)/(I499-H499)),"")</f>
        <v/>
      </c>
      <c r="S499" s="7" t="str">
        <f aca="false">IF(D499="","",IF(N499&lt;&gt;"","Closed","Open"))</f>
        <v/>
      </c>
      <c r="T499" s="7"/>
    </row>
    <row r="500" customFormat="false" ht="15" hidden="false" customHeight="false" outlineLevel="0" collapsed="false">
      <c r="A500" s="7"/>
      <c r="B500" s="7"/>
      <c r="C500" s="7"/>
      <c r="D500" s="7"/>
      <c r="E500" s="7"/>
      <c r="F500" s="7"/>
      <c r="G500" s="8"/>
      <c r="H500" s="9"/>
      <c r="I500" s="9"/>
      <c r="J500" s="9"/>
      <c r="K500" s="7"/>
      <c r="L500" s="7"/>
      <c r="M500" s="9" t="str">
        <f aca="false">IF(AND(H500&lt;&gt;"",I500&lt;&gt;"",K500&lt;&gt;""),ABS(H500-I500)*K500,"")</f>
        <v/>
      </c>
      <c r="N500" s="9"/>
      <c r="O500" s="7"/>
      <c r="P500" s="9" t="str">
        <f aca="false">IF(N500&lt;&gt;"",(N500-H500)*K500*IF(E500="Buy",1,-1),"")</f>
        <v/>
      </c>
      <c r="Q500" s="10" t="str">
        <f aca="false">IF(AND(P500&lt;&gt;"",H500&lt;&gt;0,K500&lt;&gt;0),P500/(H500*K500),"")</f>
        <v/>
      </c>
      <c r="R500" s="11" t="str">
        <f aca="false">IF(AND(N500&lt;&gt;"",H500&lt;&gt;I500),IF(E500="Buy",(N500-H500)/(H500-I500),(H500-N500)/(I500-H500)),"")</f>
        <v/>
      </c>
      <c r="S500" s="7" t="str">
        <f aca="false">IF(D500="","",IF(N500&lt;&gt;"","Closed","Open"))</f>
        <v/>
      </c>
      <c r="T500" s="7"/>
    </row>
  </sheetData>
  <dataValidations count="4">
    <dataValidation allowBlank="true" errorStyle="stop" operator="between" showDropDown="false" showErrorMessage="false" showInputMessage="false" sqref="C2:C500" type="list">
      <formula1>"NSE,BSE,US,Crypto"</formula1>
      <formula2>0</formula2>
    </dataValidation>
    <dataValidation allowBlank="true" errorStyle="stop" operator="between" showDropDown="false" showErrorMessage="false" showInputMessage="false" sqref="E2:E500" type="list">
      <formula1>"Buy,Sell"</formula1>
      <formula2>0</formula2>
    </dataValidation>
    <dataValidation allowBlank="true" errorStyle="stop" operator="between" showDropDown="false" showErrorMessage="false" showInputMessage="false" sqref="F2:F500" type="list">
      <formula1>"AI,Manual"</formula1>
      <formula2>0</formula2>
    </dataValidation>
    <dataValidation allowBlank="true" errorStyle="stop" operator="between" showDropDown="false" showErrorMessage="false" showInputMessage="false" sqref="L2:L500" type="list">
      <formula1>"INR,USD,USDT"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16"/>
  </cols>
  <sheetData>
    <row r="1" customFormat="false" ht="17.35" hidden="false" customHeight="false" outlineLevel="0" collapsed="false">
      <c r="A1" s="12" t="s">
        <v>29</v>
      </c>
      <c r="B1" s="12"/>
      <c r="C1" s="12"/>
      <c r="D1" s="12"/>
    </row>
    <row r="2" customFormat="false" ht="15" hidden="false" customHeight="false" outlineLevel="0" collapsed="false">
      <c r="A2" s="13" t="s">
        <v>30</v>
      </c>
      <c r="B2" s="13"/>
      <c r="C2" s="13"/>
      <c r="D2" s="13"/>
    </row>
    <row r="4" customFormat="false" ht="15" hidden="false" customHeight="false" outlineLevel="0" collapsed="false">
      <c r="A4" s="14" t="s">
        <v>31</v>
      </c>
      <c r="B4" s="14"/>
      <c r="C4" s="14"/>
      <c r="D4" s="14"/>
    </row>
    <row r="5" customFormat="false" ht="15" hidden="false" customHeight="false" outlineLevel="0" collapsed="false">
      <c r="A5" s="15" t="s">
        <v>32</v>
      </c>
      <c r="B5" s="7" t="n">
        <f aca="false">SUMPRODUCT(--('Trade Log'!D3:D500&lt;&gt;""))</f>
        <v>0</v>
      </c>
    </row>
    <row r="6" customFormat="false" ht="15" hidden="false" customHeight="false" outlineLevel="0" collapsed="false">
      <c r="A6" s="15" t="s">
        <v>33</v>
      </c>
      <c r="B6" s="7" t="n">
        <f aca="false">SUMPRODUCT(--('Trade Log'!S3:S500="Closed"))</f>
        <v>0</v>
      </c>
    </row>
    <row r="7" customFormat="false" ht="15" hidden="false" customHeight="false" outlineLevel="0" collapsed="false">
      <c r="A7" s="15" t="s">
        <v>34</v>
      </c>
      <c r="B7" s="7" t="n">
        <f aca="false">SUMPRODUCT(--('Trade Log'!S3:S500="Open"))</f>
        <v>0</v>
      </c>
    </row>
    <row r="8" customFormat="false" ht="15" hidden="false" customHeight="false" outlineLevel="0" collapsed="false">
      <c r="A8" s="15" t="s">
        <v>35</v>
      </c>
      <c r="B8" s="10" t="str">
        <f aca="false">IFERROR(SUMPRODUCT(--('Trade Log'!S3:S500="Closed"),--('Trade Log'!P3:P500&gt;0))/B6,"")</f>
        <v/>
      </c>
    </row>
    <row r="9" customFormat="false" ht="15" hidden="false" customHeight="false" outlineLevel="0" collapsed="false">
      <c r="A9" s="15" t="s">
        <v>36</v>
      </c>
      <c r="B9" s="10" t="str">
        <f aca="false">IFERROR(AVERAGEIFS('Trade Log'!Q3:Q500,'Trade Log'!S3:S500,"Closed"),"")</f>
        <v/>
      </c>
    </row>
    <row r="10" customFormat="false" ht="15" hidden="false" customHeight="false" outlineLevel="0" collapsed="false">
      <c r="A10" s="15" t="s">
        <v>37</v>
      </c>
      <c r="B10" s="10" t="n">
        <f aca="false">IFERROR(MAX('Trade Log'!Q3:Q500),"")</f>
        <v>0</v>
      </c>
    </row>
    <row r="11" customFormat="false" ht="15" hidden="false" customHeight="false" outlineLevel="0" collapsed="false">
      <c r="A11" s="15" t="s">
        <v>38</v>
      </c>
      <c r="B11" s="10" t="n">
        <f aca="false">IFERROR(MIN('Trade Log'!Q3:Q500),"")</f>
        <v>0</v>
      </c>
    </row>
    <row r="13" customFormat="false" ht="15" hidden="false" customHeight="false" outlineLevel="0" collapsed="false">
      <c r="A13" s="14" t="s">
        <v>39</v>
      </c>
      <c r="B13" s="14"/>
      <c r="C13" s="14"/>
      <c r="D13" s="14"/>
    </row>
    <row r="14" customFormat="false" ht="15" hidden="false" customHeight="false" outlineLevel="0" collapsed="false">
      <c r="A14" s="15" t="s">
        <v>11</v>
      </c>
      <c r="B14" s="15" t="s">
        <v>40</v>
      </c>
      <c r="C14" s="15" t="s">
        <v>33</v>
      </c>
    </row>
    <row r="15" customFormat="false" ht="15" hidden="false" customHeight="false" outlineLevel="0" collapsed="false">
      <c r="A15" s="15" t="s">
        <v>26</v>
      </c>
      <c r="B15" s="9" t="n">
        <f aca="false">SUMIFS('Trade Log'!P3:P500,'Trade Log'!L3:L500,"INR",'Trade Log'!S3:S500,"Closed")</f>
        <v>0</v>
      </c>
      <c r="C15" s="7" t="n">
        <f aca="false">SUMPRODUCT(--('Trade Log'!L3:L500="INR"),--('Trade Log'!S3:S500="Closed"))</f>
        <v>0</v>
      </c>
    </row>
    <row r="16" customFormat="false" ht="15" hidden="false" customHeight="false" outlineLevel="0" collapsed="false">
      <c r="A16" s="15" t="s">
        <v>41</v>
      </c>
      <c r="B16" s="9" t="n">
        <f aca="false">SUMIFS('Trade Log'!P3:P500,'Trade Log'!L3:L500,"USD",'Trade Log'!S3:S500,"Closed")</f>
        <v>0</v>
      </c>
      <c r="C16" s="7" t="n">
        <f aca="false">SUMPRODUCT(--('Trade Log'!L3:L500="USD"),--('Trade Log'!S3:S500="Closed"))</f>
        <v>0</v>
      </c>
    </row>
    <row r="17" customFormat="false" ht="15" hidden="false" customHeight="false" outlineLevel="0" collapsed="false">
      <c r="A17" s="15" t="s">
        <v>42</v>
      </c>
      <c r="B17" s="9" t="n">
        <f aca="false">SUMIFS('Trade Log'!P3:P500,'Trade Log'!L3:L500,"USDT",'Trade Log'!S3:S500,"Closed")</f>
        <v>0</v>
      </c>
      <c r="C17" s="7" t="n">
        <f aca="false">SUMPRODUCT(--('Trade Log'!L3:L500="USDT"),--('Trade Log'!S3:S500="Closed"))</f>
        <v>0</v>
      </c>
    </row>
    <row r="19" customFormat="false" ht="15" hidden="false" customHeight="false" outlineLevel="0" collapsed="false">
      <c r="A19" s="14" t="s">
        <v>43</v>
      </c>
      <c r="B19" s="14"/>
      <c r="C19" s="14"/>
      <c r="D19" s="14"/>
    </row>
    <row r="20" customFormat="false" ht="15" hidden="false" customHeight="false" outlineLevel="0" collapsed="false">
      <c r="A20" s="15" t="s">
        <v>2</v>
      </c>
      <c r="B20" s="15" t="s">
        <v>44</v>
      </c>
      <c r="C20" s="15" t="s">
        <v>45</v>
      </c>
    </row>
    <row r="21" customFormat="false" ht="15" hidden="false" customHeight="false" outlineLevel="0" collapsed="false">
      <c r="A21" s="15" t="s">
        <v>22</v>
      </c>
      <c r="B21" s="7" t="n">
        <f aca="false">SUMPRODUCT(--('Trade Log'!C3:C500="NSE"),--('Trade Log'!S3:S500="Closed"))</f>
        <v>0</v>
      </c>
      <c r="C21" s="10" t="str">
        <f aca="false">IFERROR(SUMPRODUCT(--('Trade Log'!C3:C500="NSE"),--('Trade Log'!S3:S500="Closed"),--('Trade Log'!P3:P500&gt;0))/B21,"")</f>
        <v/>
      </c>
    </row>
    <row r="22" customFormat="false" ht="15" hidden="false" customHeight="false" outlineLevel="0" collapsed="false">
      <c r="A22" s="15" t="s">
        <v>46</v>
      </c>
      <c r="B22" s="7" t="n">
        <f aca="false">SUMPRODUCT(--('Trade Log'!C3:C500="BSE"),--('Trade Log'!S3:S500="Closed"))</f>
        <v>0</v>
      </c>
      <c r="C22" s="10" t="str">
        <f aca="false">IFERROR(SUMPRODUCT(--('Trade Log'!C3:C500="BSE"),--('Trade Log'!S3:S500="Closed"),--('Trade Log'!P3:P500&gt;0))/B22,"")</f>
        <v/>
      </c>
    </row>
    <row r="23" customFormat="false" ht="15" hidden="false" customHeight="false" outlineLevel="0" collapsed="false">
      <c r="A23" s="15" t="s">
        <v>47</v>
      </c>
      <c r="B23" s="7" t="n">
        <f aca="false">SUMPRODUCT(--('Trade Log'!C3:C500="US"),--('Trade Log'!S3:S500="Closed"))</f>
        <v>0</v>
      </c>
      <c r="C23" s="10" t="str">
        <f aca="false">IFERROR(SUMPRODUCT(--('Trade Log'!C3:C500="US"),--('Trade Log'!S3:S500="Closed"),--('Trade Log'!P3:P500&gt;0))/B23,"")</f>
        <v/>
      </c>
    </row>
    <row r="24" customFormat="false" ht="15" hidden="false" customHeight="false" outlineLevel="0" collapsed="false">
      <c r="A24" s="15" t="s">
        <v>48</v>
      </c>
      <c r="B24" s="7" t="n">
        <f aca="false">SUMPRODUCT(--('Trade Log'!C3:C500="Crypto"),--('Trade Log'!S3:S500="Closed"))</f>
        <v>0</v>
      </c>
      <c r="C24" s="10" t="str">
        <f aca="false">IFERROR(SUMPRODUCT(--('Trade Log'!C3:C500="Crypto"),--('Trade Log'!S3:S500="Closed"),--('Trade Log'!P3:P500&gt;0))/B24,"")</f>
        <v/>
      </c>
    </row>
    <row r="26" customFormat="false" ht="15" hidden="false" customHeight="false" outlineLevel="0" collapsed="false">
      <c r="A26" s="14" t="s">
        <v>49</v>
      </c>
      <c r="B26" s="14"/>
      <c r="C26" s="14"/>
      <c r="D26" s="14"/>
    </row>
    <row r="27" customFormat="false" ht="15" hidden="false" customHeight="false" outlineLevel="0" collapsed="false">
      <c r="A27" s="15" t="s">
        <v>50</v>
      </c>
      <c r="B27" s="15" t="s">
        <v>44</v>
      </c>
      <c r="C27" s="15" t="s">
        <v>45</v>
      </c>
      <c r="D27" s="15" t="s">
        <v>51</v>
      </c>
    </row>
    <row r="28" customFormat="false" ht="15" hidden="false" customHeight="false" outlineLevel="0" collapsed="false">
      <c r="A28" s="15" t="s">
        <v>25</v>
      </c>
      <c r="B28" s="7" t="n">
        <f aca="false">SUMPRODUCT(--('Trade Log'!F3:F500="AI"),--('Trade Log'!S3:S500="Closed"))</f>
        <v>0</v>
      </c>
      <c r="C28" s="10" t="str">
        <f aca="false">IFERROR(SUMPRODUCT(--('Trade Log'!F3:F500="AI"),--('Trade Log'!S3:S500="Closed"),--('Trade Log'!P3:P500&gt;0))/B28,"")</f>
        <v/>
      </c>
      <c r="D28" s="10" t="str">
        <f aca="false">IFERROR(AVERAGEIFS('Trade Log'!Q3:Q500,'Trade Log'!F3:F500,"AI",'Trade Log'!S3:S500,"Closed"),"")</f>
        <v/>
      </c>
    </row>
    <row r="29" customFormat="false" ht="15" hidden="false" customHeight="false" outlineLevel="0" collapsed="false">
      <c r="A29" s="15" t="s">
        <v>52</v>
      </c>
      <c r="B29" s="7" t="n">
        <f aca="false">SUMPRODUCT(--('Trade Log'!F3:F500="Manual"),--('Trade Log'!S3:S500="Closed"))</f>
        <v>0</v>
      </c>
      <c r="C29" s="10" t="str">
        <f aca="false">IFERROR(SUMPRODUCT(--('Trade Log'!F3:F500="Manual"),--('Trade Log'!S3:S500="Closed"),--('Trade Log'!P3:P500&gt;0))/B29,"")</f>
        <v/>
      </c>
      <c r="D29" s="10" t="str">
        <f aca="false">IFERROR(AVERAGEIFS('Trade Log'!Q3:Q500,'Trade Log'!F3:F500,"Manual",'Trade Log'!S3:S500,"Closed"),"")</f>
        <v/>
      </c>
    </row>
  </sheetData>
  <mergeCells count="6">
    <mergeCell ref="A1:D1"/>
    <mergeCell ref="A2:D2"/>
    <mergeCell ref="A4:D4"/>
    <mergeCell ref="A13:D13"/>
    <mergeCell ref="A19:D19"/>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0"/>
  </cols>
  <sheetData>
    <row r="1" customFormat="false" ht="17.35" hidden="false" customHeight="false" outlineLevel="0" collapsed="false">
      <c r="A1" s="12" t="s">
        <v>53</v>
      </c>
      <c r="B1" s="12"/>
    </row>
    <row r="3" customFormat="false" ht="23.85" hidden="false" customHeight="false" outlineLevel="0" collapsed="false">
      <c r="A3" s="16" t="s">
        <v>54</v>
      </c>
      <c r="B3" s="17" t="s">
        <v>55</v>
      </c>
    </row>
    <row r="4" customFormat="false" ht="23.85" hidden="false" customHeight="false" outlineLevel="0" collapsed="false">
      <c r="A4" s="16" t="s">
        <v>56</v>
      </c>
      <c r="B4" s="17" t="s">
        <v>57</v>
      </c>
    </row>
    <row r="5" customFormat="false" ht="23.85" hidden="false" customHeight="false" outlineLevel="0" collapsed="false">
      <c r="A5" s="16" t="s">
        <v>58</v>
      </c>
      <c r="B5" s="17" t="s">
        <v>59</v>
      </c>
    </row>
    <row r="6" customFormat="false" ht="23.85" hidden="false" customHeight="false" outlineLevel="0" collapsed="false">
      <c r="A6" s="16" t="s">
        <v>60</v>
      </c>
      <c r="B6" s="17" t="s">
        <v>61</v>
      </c>
    </row>
    <row r="7" customFormat="false" ht="23.85" hidden="false" customHeight="false" outlineLevel="0" collapsed="false">
      <c r="A7" s="16" t="s">
        <v>5</v>
      </c>
      <c r="B7" s="17" t="s">
        <v>62</v>
      </c>
    </row>
    <row r="8" customFormat="false" ht="23.85" hidden="false" customHeight="false" outlineLevel="0" collapsed="false">
      <c r="A8" s="16" t="s">
        <v>11</v>
      </c>
      <c r="B8" s="17" t="s">
        <v>63</v>
      </c>
    </row>
    <row r="9" customFormat="false" ht="15" hidden="false" customHeight="false" outlineLevel="0" collapsed="false">
      <c r="A9" s="16" t="s">
        <v>64</v>
      </c>
      <c r="B9" s="17" t="s">
        <v>65</v>
      </c>
    </row>
    <row r="10" customFormat="false" ht="23.85" hidden="false" customHeight="false" outlineLevel="0" collapsed="false">
      <c r="A10" s="16" t="s">
        <v>66</v>
      </c>
      <c r="B10" s="17" t="s">
        <v>67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2026-08-08T20:31:54Z</dcterms:created>
  <dc:creator>openpyxl</dc:creator>
  <dc:description/>
  <dc:language>en-US</dc:language>
  <cp:lastModifiedBy/>
  <dcterms:modified xsi:type="dcterms:W3CDTF">2026-08-08T20:31:54Z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